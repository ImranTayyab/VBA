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ran\Google Drive\Github\VBA\PT Flash\"/>
    </mc:Choice>
  </mc:AlternateContent>
  <xr:revisionPtr revIDLastSave="0" documentId="13_ncr:1_{AF864497-7EC5-4EC1-8CDA-D78FE13C9104}" xr6:coauthVersionLast="45" xr6:coauthVersionMax="45" xr10:uidLastSave="{00000000-0000-0000-0000-000000000000}"/>
  <workbookProtection workbookAlgorithmName="SHA-512" workbookHashValue="m6zPDPutLlxt3P/Ad2L3UosfXpgS2Qx1oeiKnpSYIgbZZWckL4/zFpVcXR9ZbRTE8JN+osqlXFpIA+a3P1O3aw==" workbookSaltValue="OVukPbUn7DM7bsUwj3oqwg==" workbookSpinCount="100000" lockStructure="1"/>
  <bookViews>
    <workbookView showSheetTabs="0" xWindow="-120" yWindow="330" windowWidth="21840" windowHeight="13290" activeTab="1" xr2:uid="{84392912-6085-4F8C-BA1F-6566CA61F1D9}"/>
  </bookViews>
  <sheets>
    <sheet name="PR Solver" sheetId="1" r:id="rId1"/>
    <sheet name="Stability" sheetId="2" r:id="rId2"/>
  </sheets>
  <definedNames>
    <definedName name="a">'PR Solver'!$C$18</definedName>
    <definedName name="Alpha">'PR Solver'!$C$15</definedName>
    <definedName name="b">'PR Solver'!$C$19</definedName>
    <definedName name="Del">'PR Solver'!$G$10</definedName>
    <definedName name="fgdfg">Stability!$C$7</definedName>
    <definedName name="FugMixture">'PR Solver'!$Q$25:$AH$38</definedName>
    <definedName name="FugNc">'PR Solver'!$R$26</definedName>
    <definedName name="FugPress">'PR Solver'!$T$27</definedName>
    <definedName name="FugRConst">'PR Solver'!$V$27</definedName>
    <definedName name="FugTableFugacityHead">'PR Solver'!$W$32</definedName>
    <definedName name="FugTableKijHead">'PR Solver'!$Z$32</definedName>
    <definedName name="FugTableLnPhiHead">'PR Solver'!$V$32</definedName>
    <definedName name="FugTableNameHead">'PR Solver'!$Q$32</definedName>
    <definedName name="FugTableOmegaHead">'PR Solver'!$U$32</definedName>
    <definedName name="FugTablePcHead">'PR Solver'!$T$32</definedName>
    <definedName name="FugTableTcHead">'PR Solver'!$S$32</definedName>
    <definedName name="FugTableTotalZ">'PR Solver'!$R$29</definedName>
    <definedName name="FugTableZiHead">'PR Solver'!$R$32</definedName>
    <definedName name="FugTabZiHead">'PR Solver'!$R$32</definedName>
    <definedName name="FugTemp">'PR Solver'!$R$27</definedName>
    <definedName name="gfdg">Stability!$C$6</definedName>
    <definedName name="gfdgfd">Stability!$C$3</definedName>
    <definedName name="gghfg">Stability!$C$5</definedName>
    <definedName name="Kappa">'PR Solver'!$C$14</definedName>
    <definedName name="KiWilson">'PR Solver'!$R$12</definedName>
    <definedName name="lnphiL">'PR Solver'!$C$29</definedName>
    <definedName name="lnphiV">'PR Solver'!$C$30</definedName>
    <definedName name="NcRRTwo">'PR Solver'!$G$26</definedName>
    <definedName name="P">'PR Solver'!$C$6</definedName>
    <definedName name="Pc">'PR Solver'!$C$4</definedName>
    <definedName name="PCjsh">Stability!$C$4</definedName>
    <definedName name="PRA">'PR Solver'!$C$20</definedName>
    <definedName name="PRB">'PR Solver'!$C$21</definedName>
    <definedName name="Pref">'PR Solver'!$C$16</definedName>
    <definedName name="PvapSolution">'PR Solver'!$C$34</definedName>
    <definedName name="Rconst">'PR Solver'!$C$13</definedName>
    <definedName name="Regime">'PR Solver'!$I$12</definedName>
    <definedName name="RRpbpdNameHead">'PR Solver'!$B$48</definedName>
    <definedName name="RRpbpdNc">'PR Solver'!$C$41</definedName>
    <definedName name="RRpbpdPvapHead">'PR Solver'!$D$48</definedName>
    <definedName name="RRpbpdTotalZ">'PR Solver'!$C$46</definedName>
    <definedName name="RRpbpdZiHead">'PR Solver'!$C$48</definedName>
    <definedName name="RRpbsol">'PR Solver'!$C$43</definedName>
    <definedName name="RRpdsol">'PR Solver'!$C$44</definedName>
    <definedName name="RRTableFvHead">'PR Solver'!$I$32</definedName>
    <definedName name="RRTableKiHead">'PR Solver'!$H$32</definedName>
    <definedName name="RRTableXiHead">'PR Solver'!$M$32</definedName>
    <definedName name="RRTableYiHead">'PR Solver'!$N$32</definedName>
    <definedName name="RRTableZiHead">'PR Solver'!$G$32</definedName>
    <definedName name="RRTwoBvInitial">'PR Solver'!$K$26</definedName>
    <definedName name="RRTwoCount">'PR Solver'!$G$31</definedName>
    <definedName name="RRTwoFirstEntry">'PR Solver'!$H$33</definedName>
    <definedName name="RRTwoFvCopyFirstEntry">'PR Solver'!$J$33</definedName>
    <definedName name="RRTwoFvCopyHead">'PR Solver'!$J$32</definedName>
    <definedName name="RRTwoFvCopyLastEntry">'PR Solver'!$J$34</definedName>
    <definedName name="RRTwoFvFirstEntry">'PR Solver'!$I$33</definedName>
    <definedName name="RRTwoFvLastEntry">'PR Solver'!$I$34</definedName>
    <definedName name="RRTwoFvPrimeCopyFirstEntry">'PR Solver'!$L$33</definedName>
    <definedName name="RRTwoFvPrimeCopyLastEntry">'PR Solver'!$L$34</definedName>
    <definedName name="RRTwoFvPrimeFirstEntry">'PR Solver'!$K$33</definedName>
    <definedName name="RRTwoFvPrimeLastEntry">'PR Solver'!$K$34</definedName>
    <definedName name="RRTwoKiCurrent">'PR Solver'!$H$34</definedName>
    <definedName name="RRTwoKmax">'PR Solver'!$G$27</definedName>
    <definedName name="RRTwoKmaxPole">'PR Solver'!$G$28</definedName>
    <definedName name="RRTwoKmin">'PR Solver'!$I$27</definedName>
    <definedName name="RRTwoKminPole">'PR Solver'!$I$28</definedName>
    <definedName name="RRTwoLastEntry">'PR Solver'!$H$34</definedName>
    <definedName name="RRTwoNewtonCount">'PR Solver'!$I$29</definedName>
    <definedName name="RRTwoPhase">'PR Solver'!$F$25:$N$37</definedName>
    <definedName name="RRTwoPhaseBvPlot">'PR Solver'!$N$41</definedName>
    <definedName name="RRTwoPhaseRRPlot">'PR Solver'!$O$41</definedName>
    <definedName name="RRTwoSolutionBv">'PR Solver'!$K$29</definedName>
    <definedName name="RRTwoThreshold">'PR Solver'!$I$26</definedName>
    <definedName name="RRTwoTotalFv">'PR Solver'!$K$27</definedName>
    <definedName name="RRTwoTotalFvPrime">'PR Solver'!$K$28</definedName>
    <definedName name="RRTwoZiCurrent">'PR Solver'!$G$34</definedName>
    <definedName name="RRTwoZiFirstEntry">'PR Solver'!$G$33</definedName>
    <definedName name="RRTwoZiLastEntry">'PR Solver'!$G$34</definedName>
    <definedName name="RRTwoZiTotal">'PR Solver'!$G$29</definedName>
    <definedName name="SANc">Stability!$B$2</definedName>
    <definedName name="SAOnePhaseCalculatedBv">Stability!$K$3</definedName>
    <definedName name="SAOnePhaseMaxIteration">Stability!$I$3</definedName>
    <definedName name="SAOnePhasePTFlashIteration">Stability!$I$4</definedName>
    <definedName name="SAOnePhaseStabilityIteration">Stability!$I$5</definedName>
    <definedName name="SAOnePhaseThreshold">Stability!$I$2</definedName>
    <definedName name="SAOnePhaseTOtalXi">Stability!$K$2</definedName>
    <definedName name="SAPress">Stability!$D$3</definedName>
    <definedName name="SARConst">Stability!$F$3</definedName>
    <definedName name="SATableErrorColoumn">Stability!$AB$3:$AB$1048576</definedName>
    <definedName name="SATableErrorFirstEntry">Stability!$AB$3</definedName>
    <definedName name="SATableErrorHead">Stability!$AB$2</definedName>
    <definedName name="SATableErrorPTFlashHead">Stability!$AC$2</definedName>
    <definedName name="SATableIterationNumHead">Stability!$AA$2</definedName>
    <definedName name="SATableKiHead">Stability!$I$8</definedName>
    <definedName name="SATableKijHead">Stability!$J$8</definedName>
    <definedName name="SATableNameHead">Stability!$A$8</definedName>
    <definedName name="SATableOmegaHead">Stability!$E$8</definedName>
    <definedName name="SATablePcHead">Stability!$D$8</definedName>
    <definedName name="SATableTcHead">Stability!$C$8</definedName>
    <definedName name="SATableTotalZ">Stability!$B$5</definedName>
    <definedName name="SATableXiHead">Stability!$F$8</definedName>
    <definedName name="SATableYiHead">Stability!$G$8</definedName>
    <definedName name="SATableZiHead">Stability!$B$8</definedName>
    <definedName name="SATemp">Stability!$B$3</definedName>
    <definedName name="SingleCompVaporPressure">'PR Solver'!$B$25:$D$36</definedName>
    <definedName name="SingPvapCount">'PR Solver'!$C$26</definedName>
    <definedName name="SingPvapEr">'PR Solver'!$C$32</definedName>
    <definedName name="SingPvapTrsh">'PR Solver'!$C$27</definedName>
    <definedName name="T">'PR Solver'!$C$5</definedName>
    <definedName name="Tc">'PR Solver'!$C$3</definedName>
    <definedName name="Vmax">'PR Solver'!$K$4</definedName>
    <definedName name="Vmin">'PR Solver'!$K$6</definedName>
    <definedName name="w">'PR Solver'!$C$7</definedName>
    <definedName name="Zmax">'PR Solver'!$J$4</definedName>
    <definedName name="Zmin">'PR Solver'!$J$6</definedName>
    <definedName name="Zsingle">'PR Solver'!$J$8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8" i="1" l="1"/>
  <c r="K27" i="1"/>
  <c r="K34" i="1"/>
  <c r="I34" i="1"/>
  <c r="K33" i="1"/>
  <c r="I33" i="1"/>
  <c r="G29" i="1"/>
  <c r="I27" i="1"/>
  <c r="G27" i="1"/>
  <c r="B53" i="2" l="1"/>
  <c r="B56" i="2" l="1"/>
  <c r="C57" i="1" l="1"/>
  <c r="C56" i="1"/>
  <c r="C55" i="1"/>
  <c r="C54" i="1"/>
  <c r="C53" i="1"/>
  <c r="K30" i="1" l="1"/>
  <c r="S7" i="1" l="1"/>
  <c r="I28" i="1" l="1"/>
  <c r="G28" i="1"/>
  <c r="R12" i="1"/>
  <c r="S9" i="1"/>
  <c r="S6" i="1"/>
  <c r="C34" i="1"/>
  <c r="C19" i="1"/>
  <c r="C21" i="1" s="1"/>
  <c r="G3" i="1" s="1"/>
  <c r="C14" i="1"/>
  <c r="C15" i="1" s="1"/>
  <c r="C18" i="1" s="1"/>
  <c r="C20" i="1" s="1"/>
  <c r="G5" i="1" l="1"/>
  <c r="G4" i="1"/>
  <c r="G8" i="1" s="1"/>
  <c r="G7" i="1" l="1"/>
  <c r="G18" i="1" s="1"/>
  <c r="G10" i="1" l="1"/>
  <c r="I12" i="1" s="1"/>
  <c r="G21" i="1"/>
  <c r="G19" i="1"/>
  <c r="G20" i="1"/>
  <c r="G12" i="1"/>
  <c r="G13" i="1" l="1"/>
  <c r="G15" i="1" s="1"/>
  <c r="J8" i="1" s="1"/>
  <c r="K8" i="1" s="1"/>
  <c r="J4" i="1"/>
  <c r="K4" i="1" s="1"/>
  <c r="C35" i="1" s="1"/>
  <c r="J5" i="1"/>
  <c r="K5" i="1" s="1"/>
  <c r="J6" i="1"/>
  <c r="K6" i="1" s="1"/>
  <c r="C36" i="1" s="1"/>
  <c r="C30" i="1" l="1"/>
  <c r="C29" i="1"/>
  <c r="C32" i="1" l="1"/>
</calcChain>
</file>

<file path=xl/sharedStrings.xml><?xml version="1.0" encoding="utf-8"?>
<sst xmlns="http://schemas.openxmlformats.org/spreadsheetml/2006/main" count="179" uniqueCount="112">
  <si>
    <t>Input</t>
  </si>
  <si>
    <t>Tc</t>
  </si>
  <si>
    <t>Pc</t>
  </si>
  <si>
    <t>T</t>
  </si>
  <si>
    <t>P</t>
  </si>
  <si>
    <t>Omega</t>
  </si>
  <si>
    <t>Alpha</t>
  </si>
  <si>
    <t>Kappa</t>
  </si>
  <si>
    <t>R</t>
  </si>
  <si>
    <t>K</t>
  </si>
  <si>
    <t>Pa</t>
  </si>
  <si>
    <t>m3.Pa/mol.K</t>
  </si>
  <si>
    <t>Pref</t>
  </si>
  <si>
    <t>a</t>
  </si>
  <si>
    <t>b</t>
  </si>
  <si>
    <t>A</t>
  </si>
  <si>
    <t>B</t>
  </si>
  <si>
    <t>C</t>
  </si>
  <si>
    <t>D</t>
  </si>
  <si>
    <t>E</t>
  </si>
  <si>
    <t>Del</t>
  </si>
  <si>
    <t>if Del&gt;0</t>
  </si>
  <si>
    <t>F</t>
  </si>
  <si>
    <t>G</t>
  </si>
  <si>
    <t>x1</t>
  </si>
  <si>
    <t>if Del&lt;0</t>
  </si>
  <si>
    <t>Theta</t>
  </si>
  <si>
    <t>x2</t>
  </si>
  <si>
    <t>x3</t>
  </si>
  <si>
    <t>Roots</t>
  </si>
  <si>
    <t>Z</t>
  </si>
  <si>
    <t>V (m3/mol)</t>
  </si>
  <si>
    <t>Max</t>
  </si>
  <si>
    <t>Min</t>
  </si>
  <si>
    <t>Inter</t>
  </si>
  <si>
    <t>Single</t>
  </si>
  <si>
    <t>Cardano Variables</t>
  </si>
  <si>
    <t>Cardano Cubic Roots Solver</t>
  </si>
  <si>
    <t>Working in:</t>
  </si>
  <si>
    <r>
      <t xml:space="preserve">ln </t>
    </r>
    <r>
      <rPr>
        <sz val="11"/>
        <color theme="1"/>
        <rFont val="Calibri"/>
        <family val="2"/>
      </rPr>
      <t>Φ Liq</t>
    </r>
  </si>
  <si>
    <r>
      <t xml:space="preserve">ln </t>
    </r>
    <r>
      <rPr>
        <sz val="11"/>
        <color theme="1"/>
        <rFont val="Calibri"/>
        <family val="2"/>
      </rPr>
      <t>Φ Vap</t>
    </r>
  </si>
  <si>
    <t>Error</t>
  </si>
  <si>
    <t>Threshold</t>
  </si>
  <si>
    <t>Iteration</t>
  </si>
  <si>
    <t>Pvap</t>
  </si>
  <si>
    <t>Vol Vap</t>
  </si>
  <si>
    <t>Vol Liq</t>
  </si>
  <si>
    <t>m3/mol</t>
  </si>
  <si>
    <t>Single Component Vapor Pressure</t>
  </si>
  <si>
    <t>Units Converter</t>
  </si>
  <si>
    <t>Pressure</t>
  </si>
  <si>
    <t>bar</t>
  </si>
  <si>
    <t>Name (Op)</t>
  </si>
  <si>
    <t>Temperature</t>
  </si>
  <si>
    <t>degF</t>
  </si>
  <si>
    <t>C7</t>
  </si>
  <si>
    <t>Ki</t>
  </si>
  <si>
    <t>Wilson Ki Estimator</t>
  </si>
  <si>
    <t>C3</t>
  </si>
  <si>
    <t>Nc</t>
  </si>
  <si>
    <t>Kmax</t>
  </si>
  <si>
    <t>Kmin</t>
  </si>
  <si>
    <t>Xi</t>
  </si>
  <si>
    <t>Zi</t>
  </si>
  <si>
    <t>Total f(V)</t>
  </si>
  <si>
    <t>Name</t>
  </si>
  <si>
    <t>C5</t>
  </si>
  <si>
    <t>Initial Bv</t>
  </si>
  <si>
    <t>f(v)</t>
  </si>
  <si>
    <t>f'(v)</t>
  </si>
  <si>
    <t>Total f'(v)</t>
  </si>
  <si>
    <t>Kmax Pole</t>
  </si>
  <si>
    <t>Kmin Pole</t>
  </si>
  <si>
    <t>Yi</t>
  </si>
  <si>
    <t>Counter</t>
  </si>
  <si>
    <t>Sol Bv</t>
  </si>
  <si>
    <t>Np</t>
  </si>
  <si>
    <t>Kij Table</t>
  </si>
  <si>
    <t>CO2</t>
  </si>
  <si>
    <t>C4</t>
  </si>
  <si>
    <t>C10</t>
  </si>
  <si>
    <t>psi</t>
  </si>
  <si>
    <t>Temp (K)</t>
  </si>
  <si>
    <t>Mixture Fugacity Calculation</t>
  </si>
  <si>
    <t>Total Z</t>
  </si>
  <si>
    <t>Select Mode</t>
  </si>
  <si>
    <r>
      <t xml:space="preserve">ln </t>
    </r>
    <r>
      <rPr>
        <sz val="11"/>
        <color theme="1"/>
        <rFont val="Calibri"/>
        <family val="2"/>
      </rPr>
      <t>Φ</t>
    </r>
  </si>
  <si>
    <t>ω</t>
  </si>
  <si>
    <t>Bv</t>
  </si>
  <si>
    <t>RR</t>
  </si>
  <si>
    <t>Sol BL</t>
  </si>
  <si>
    <t>Raoult's Law Bubble &amp; Dew Point</t>
  </si>
  <si>
    <t>Bubble Point</t>
  </si>
  <si>
    <t>Dew Point</t>
  </si>
  <si>
    <t>Pd</t>
  </si>
  <si>
    <t>Fugacity</t>
  </si>
  <si>
    <t>C1</t>
  </si>
  <si>
    <t>H2S</t>
  </si>
  <si>
    <t>Max Iteration</t>
  </si>
  <si>
    <t>Total Xi</t>
  </si>
  <si>
    <t>C6</t>
  </si>
  <si>
    <t>nC36</t>
  </si>
  <si>
    <t>PT Flash Iteration</t>
  </si>
  <si>
    <t>Stability Iteration</t>
  </si>
  <si>
    <t>nC4</t>
  </si>
  <si>
    <t>nC10</t>
  </si>
  <si>
    <t>Phase Stability &amp; PT Two Phase Flash</t>
  </si>
  <si>
    <t>Rachford Rice - Two Phase Constant K Flash</t>
  </si>
  <si>
    <t>Isolated Modules</t>
  </si>
  <si>
    <t>Return Home</t>
  </si>
  <si>
    <t>Error SA</t>
  </si>
  <si>
    <t>Error Flash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</si>
</sst>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i/>
      <sz val="12"/>
      <color rgb="FF000000"/>
      <name val="Lucida Handwriting"/>
      <family val="4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2" tint="-0.74999237037263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11" fontId="0" fillId="0" borderId="13" xfId="0" applyNumberForma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3" xfId="0" applyBorder="1"/>
    <xf numFmtId="11" fontId="0" fillId="0" borderId="0" xfId="0" applyNumberFormat="1"/>
    <xf numFmtId="0" fontId="0" fillId="0" borderId="24" xfId="0" applyBorder="1"/>
    <xf numFmtId="164" fontId="0" fillId="0" borderId="18" xfId="0" applyNumberFormat="1" applyBorder="1"/>
    <xf numFmtId="0" fontId="0" fillId="0" borderId="23" xfId="0" applyBorder="1" applyAlignment="1">
      <alignment horizontal="left"/>
    </xf>
    <xf numFmtId="0" fontId="2" fillId="4" borderId="12" xfId="0" applyFont="1" applyFill="1" applyBorder="1"/>
    <xf numFmtId="0" fontId="0" fillId="4" borderId="13" xfId="0" applyFill="1" applyBorder="1"/>
    <xf numFmtId="0" fontId="2" fillId="4" borderId="16" xfId="0" applyFont="1" applyFill="1" applyBorder="1"/>
    <xf numFmtId="0" fontId="0" fillId="4" borderId="25" xfId="0" applyFill="1" applyBorder="1"/>
    <xf numFmtId="0" fontId="1" fillId="6" borderId="12" xfId="0" applyFont="1" applyFill="1" applyBorder="1"/>
    <xf numFmtId="0" fontId="1" fillId="6" borderId="1" xfId="0" applyFont="1" applyFill="1" applyBorder="1"/>
    <xf numFmtId="0" fontId="0" fillId="0" borderId="12" xfId="0" applyBorder="1" applyAlignment="1">
      <alignment horizontal="center"/>
    </xf>
    <xf numFmtId="0" fontId="0" fillId="2" borderId="16" xfId="0" applyFill="1" applyBorder="1"/>
    <xf numFmtId="0" fontId="0" fillId="0" borderId="25" xfId="0" applyBorder="1"/>
    <xf numFmtId="0" fontId="2" fillId="2" borderId="12" xfId="0" applyFont="1" applyFill="1" applyBorder="1"/>
    <xf numFmtId="0" fontId="0" fillId="2" borderId="13" xfId="0" applyFill="1" applyBorder="1"/>
    <xf numFmtId="0" fontId="2" fillId="2" borderId="16" xfId="0" applyFont="1" applyFill="1" applyBorder="1"/>
    <xf numFmtId="0" fontId="0" fillId="2" borderId="17" xfId="0" applyFill="1" applyBorder="1"/>
    <xf numFmtId="0" fontId="0" fillId="2" borderId="25" xfId="0" applyFill="1" applyBorder="1"/>
    <xf numFmtId="0" fontId="0" fillId="2" borderId="12" xfId="0" applyFill="1" applyBorder="1"/>
    <xf numFmtId="0" fontId="0" fillId="4" borderId="1" xfId="0" applyFill="1" applyBorder="1"/>
    <xf numFmtId="0" fontId="0" fillId="4" borderId="17" xfId="0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/>
    <xf numFmtId="0" fontId="0" fillId="8" borderId="2" xfId="0" applyFill="1" applyBorder="1"/>
    <xf numFmtId="0" fontId="0" fillId="8" borderId="31" xfId="0" applyFill="1" applyBorder="1"/>
    <xf numFmtId="0" fontId="0" fillId="2" borderId="12" xfId="0" applyFill="1" applyBorder="1" applyAlignment="1">
      <alignment horizontal="center"/>
    </xf>
    <xf numFmtId="0" fontId="1" fillId="0" borderId="23" xfId="0" applyFont="1" applyBorder="1"/>
    <xf numFmtId="0" fontId="1" fillId="0" borderId="0" xfId="0" applyFont="1" applyBorder="1"/>
    <xf numFmtId="0" fontId="1" fillId="0" borderId="0" xfId="0" applyNumberFormat="1" applyFont="1" applyBorder="1"/>
    <xf numFmtId="0" fontId="0" fillId="0" borderId="30" xfId="0" applyFill="1" applyBorder="1" applyAlignment="1">
      <alignment horizontal="center"/>
    </xf>
    <xf numFmtId="0" fontId="0" fillId="9" borderId="0" xfId="0" applyFill="1"/>
    <xf numFmtId="0" fontId="3" fillId="9" borderId="0" xfId="0" applyFont="1" applyFill="1"/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2" borderId="7" xfId="0" applyFont="1" applyFill="1" applyBorder="1"/>
    <xf numFmtId="0" fontId="0" fillId="2" borderId="9" xfId="0" applyFill="1" applyBorder="1"/>
    <xf numFmtId="164" fontId="0" fillId="0" borderId="0" xfId="0" applyNumberFormat="1" applyBorder="1"/>
    <xf numFmtId="0" fontId="5" fillId="0" borderId="23" xfId="0" applyFont="1" applyBorder="1"/>
    <xf numFmtId="0" fontId="5" fillId="0" borderId="0" xfId="0" applyFont="1" applyBorder="1"/>
    <xf numFmtId="0" fontId="3" fillId="2" borderId="1" xfId="0" applyFont="1" applyFill="1" applyBorder="1" applyAlignment="1">
      <alignment horizontal="center"/>
    </xf>
    <xf numFmtId="11" fontId="0" fillId="2" borderId="1" xfId="0" applyNumberFormat="1" applyFill="1" applyBorder="1" applyAlignment="1">
      <alignment horizontal="center"/>
    </xf>
    <xf numFmtId="0" fontId="0" fillId="0" borderId="1" xfId="0" applyNumberFormat="1" applyBorder="1"/>
    <xf numFmtId="0" fontId="2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/>
    <xf numFmtId="0" fontId="0" fillId="4" borderId="14" xfId="0" applyFill="1" applyBorder="1"/>
    <xf numFmtId="0" fontId="0" fillId="2" borderId="13" xfId="0" applyFill="1" applyBorder="1" applyAlignment="1">
      <alignment horizontal="center"/>
    </xf>
    <xf numFmtId="0" fontId="0" fillId="2" borderId="12" xfId="0" applyFill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center"/>
    </xf>
    <xf numFmtId="0" fontId="0" fillId="4" borderId="12" xfId="0" applyFill="1" applyBorder="1"/>
    <xf numFmtId="11" fontId="0" fillId="4" borderId="1" xfId="0" applyNumberFormat="1" applyFill="1" applyBorder="1"/>
    <xf numFmtId="2" fontId="0" fillId="0" borderId="1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4" borderId="1" xfId="0" applyNumberFormat="1" applyFill="1" applyBorder="1"/>
    <xf numFmtId="0" fontId="0" fillId="0" borderId="23" xfId="0" applyBorder="1" applyAlignment="1">
      <alignment horizontal="right"/>
    </xf>
    <xf numFmtId="0" fontId="2" fillId="7" borderId="20" xfId="0" applyFont="1" applyFill="1" applyBorder="1" applyAlignment="1"/>
    <xf numFmtId="0" fontId="2" fillId="7" borderId="21" xfId="0" applyFont="1" applyFill="1" applyBorder="1" applyAlignment="1"/>
    <xf numFmtId="0" fontId="0" fillId="0" borderId="0" xfId="0" applyAlignment="1">
      <alignment horizontal="center"/>
    </xf>
    <xf numFmtId="0" fontId="0" fillId="2" borderId="1" xfId="0" applyNumberForma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quotePrefix="1" applyBorder="1"/>
    <xf numFmtId="0" fontId="0" fillId="0" borderId="0" xfId="0" quotePrefix="1" applyAlignment="1">
      <alignment horizontal="center"/>
    </xf>
    <xf numFmtId="0" fontId="0" fillId="0" borderId="0" xfId="0" quotePrefix="1"/>
    <xf numFmtId="11" fontId="0" fillId="2" borderId="8" xfId="0" applyNumberFormat="1" applyFill="1" applyBorder="1"/>
    <xf numFmtId="0" fontId="0" fillId="2" borderId="1" xfId="0" applyNumberFormat="1" applyFill="1" applyBorder="1"/>
    <xf numFmtId="0" fontId="0" fillId="4" borderId="1" xfId="0" applyNumberFormat="1" applyFill="1" applyBorder="1"/>
    <xf numFmtId="11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165" fontId="0" fillId="0" borderId="2" xfId="0" applyNumberFormat="1" applyBorder="1" applyAlignment="1">
      <alignment horizontal="center" vertical="center"/>
    </xf>
    <xf numFmtId="0" fontId="7" fillId="4" borderId="0" xfId="0" applyFont="1" applyFill="1" applyBorder="1" applyAlignment="1">
      <alignment horizontal="center"/>
    </xf>
    <xf numFmtId="0" fontId="9" fillId="7" borderId="20" xfId="0" applyFont="1" applyFill="1" applyBorder="1" applyAlignment="1"/>
    <xf numFmtId="0" fontId="7" fillId="0" borderId="0" xfId="0" quotePrefix="1" applyFont="1" applyBorder="1"/>
    <xf numFmtId="0" fontId="7" fillId="0" borderId="0" xfId="0" applyFont="1" applyBorder="1"/>
    <xf numFmtId="0" fontId="6" fillId="9" borderId="0" xfId="0" applyFont="1" applyFill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4" fillId="0" borderId="0" xfId="0" applyFont="1" applyAlignment="1">
      <alignment horizontal="center"/>
    </xf>
    <xf numFmtId="0" fontId="4" fillId="0" borderId="14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Alignment="1">
      <alignment horizontal="center"/>
    </xf>
    <xf numFmtId="0" fontId="2" fillId="7" borderId="36" xfId="0" applyFont="1" applyFill="1" applyBorder="1" applyAlignment="1">
      <alignment horizontal="center"/>
    </xf>
  </cellXfs>
  <cellStyles count="1">
    <cellStyle name="Normal" xfId="0" builtinId="0"/>
  </cellStyles>
  <dxfs count="7">
    <dxf>
      <font>
        <color rgb="FF92D05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RR Two Phase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 Solver'!$N$42:$N$142</c:f>
              <c:numCache>
                <c:formatCode>General</c:formatCode>
                <c:ptCount val="101"/>
                <c:pt idx="1">
                  <c:v>-0.28902397373209215</c:v>
                </c:pt>
                <c:pt idx="2">
                  <c:v>-0.27586010750286433</c:v>
                </c:pt>
                <c:pt idx="3">
                  <c:v>-0.2626962412736365</c:v>
                </c:pt>
                <c:pt idx="4">
                  <c:v>-0.2495323750444087</c:v>
                </c:pt>
                <c:pt idx="5">
                  <c:v>-0.2363685088151809</c:v>
                </c:pt>
                <c:pt idx="6">
                  <c:v>-0.2232046425859531</c:v>
                </c:pt>
                <c:pt idx="7">
                  <c:v>-0.2100407763567253</c:v>
                </c:pt>
                <c:pt idx="8">
                  <c:v>-0.1968769101274975</c:v>
                </c:pt>
                <c:pt idx="9">
                  <c:v>-0.1837130438982697</c:v>
                </c:pt>
                <c:pt idx="10">
                  <c:v>-0.1705491776690419</c:v>
                </c:pt>
                <c:pt idx="11">
                  <c:v>-0.1573853114398141</c:v>
                </c:pt>
                <c:pt idx="12">
                  <c:v>-0.1442214452105863</c:v>
                </c:pt>
                <c:pt idx="13">
                  <c:v>-0.1310575789813585</c:v>
                </c:pt>
                <c:pt idx="14">
                  <c:v>-0.1178937127521307</c:v>
                </c:pt>
                <c:pt idx="15">
                  <c:v>-0.1047298465229029</c:v>
                </c:pt>
                <c:pt idx="16">
                  <c:v>-9.1565980293675103E-2</c:v>
                </c:pt>
                <c:pt idx="17">
                  <c:v>-7.8402114064447304E-2</c:v>
                </c:pt>
                <c:pt idx="18">
                  <c:v>-6.5238247835219504E-2</c:v>
                </c:pt>
                <c:pt idx="19">
                  <c:v>-5.2074381605991697E-2</c:v>
                </c:pt>
                <c:pt idx="20">
                  <c:v>-3.8910515376763891E-2</c:v>
                </c:pt>
                <c:pt idx="21">
                  <c:v>-2.5746649147536084E-2</c:v>
                </c:pt>
                <c:pt idx="22">
                  <c:v>-1.2582782918308279E-2</c:v>
                </c:pt>
                <c:pt idx="23">
                  <c:v>5.8108331091952584E-4</c:v>
                </c:pt>
                <c:pt idx="24">
                  <c:v>1.3744949540147331E-2</c:v>
                </c:pt>
                <c:pt idx="25">
                  <c:v>2.6908815769375136E-2</c:v>
                </c:pt>
                <c:pt idx="26">
                  <c:v>4.0072681998602942E-2</c:v>
                </c:pt>
                <c:pt idx="27">
                  <c:v>5.3236548227830749E-2</c:v>
                </c:pt>
                <c:pt idx="28">
                  <c:v>6.6400414457058549E-2</c:v>
                </c:pt>
                <c:pt idx="29">
                  <c:v>7.9564280686286348E-2</c:v>
                </c:pt>
                <c:pt idx="30">
                  <c:v>9.2728146915514148E-2</c:v>
                </c:pt>
                <c:pt idx="31">
                  <c:v>0.10589201314474195</c:v>
                </c:pt>
                <c:pt idx="32">
                  <c:v>0.11905587937396975</c:v>
                </c:pt>
                <c:pt idx="33">
                  <c:v>0.13221974560319755</c:v>
                </c:pt>
                <c:pt idx="34">
                  <c:v>0.14538361183242535</c:v>
                </c:pt>
                <c:pt idx="35">
                  <c:v>0.15854747806165315</c:v>
                </c:pt>
                <c:pt idx="36">
                  <c:v>0.17171134429088095</c:v>
                </c:pt>
                <c:pt idx="37">
                  <c:v>0.18487521052010875</c:v>
                </c:pt>
                <c:pt idx="38">
                  <c:v>0.19803907674933655</c:v>
                </c:pt>
                <c:pt idx="39">
                  <c:v>0.21120294297856435</c:v>
                </c:pt>
                <c:pt idx="40">
                  <c:v>0.22436680920779214</c:v>
                </c:pt>
                <c:pt idx="41">
                  <c:v>0.23753067543701994</c:v>
                </c:pt>
                <c:pt idx="42">
                  <c:v>0.25069454166624777</c:v>
                </c:pt>
                <c:pt idx="43">
                  <c:v>0.2638584078954756</c:v>
                </c:pt>
                <c:pt idx="44">
                  <c:v>0.27702227412470343</c:v>
                </c:pt>
                <c:pt idx="45">
                  <c:v>0.29018614035393125</c:v>
                </c:pt>
                <c:pt idx="46">
                  <c:v>0.30335000658315908</c:v>
                </c:pt>
                <c:pt idx="47">
                  <c:v>0.31651387281238691</c:v>
                </c:pt>
                <c:pt idx="48">
                  <c:v>0.32967773904161474</c:v>
                </c:pt>
                <c:pt idx="49">
                  <c:v>0.34284160527084256</c:v>
                </c:pt>
                <c:pt idx="50">
                  <c:v>0.35600547150007039</c:v>
                </c:pt>
                <c:pt idx="51">
                  <c:v>0.36916933772929822</c:v>
                </c:pt>
                <c:pt idx="52">
                  <c:v>0.38233320395852605</c:v>
                </c:pt>
                <c:pt idx="53">
                  <c:v>0.39549707018775387</c:v>
                </c:pt>
                <c:pt idx="54">
                  <c:v>0.4086609364169817</c:v>
                </c:pt>
                <c:pt idx="55">
                  <c:v>0.42182480264620953</c:v>
                </c:pt>
                <c:pt idx="56">
                  <c:v>0.43498866887543736</c:v>
                </c:pt>
                <c:pt idx="57">
                  <c:v>0.44815253510466518</c:v>
                </c:pt>
                <c:pt idx="58">
                  <c:v>0.46131640133389301</c:v>
                </c:pt>
                <c:pt idx="59">
                  <c:v>0.47448026756312084</c:v>
                </c:pt>
                <c:pt idx="60">
                  <c:v>0.48764413379234867</c:v>
                </c:pt>
                <c:pt idx="61">
                  <c:v>0.50080800002157644</c:v>
                </c:pt>
                <c:pt idx="62">
                  <c:v>0.51397186625080427</c:v>
                </c:pt>
                <c:pt idx="63">
                  <c:v>0.52713573248003209</c:v>
                </c:pt>
                <c:pt idx="64">
                  <c:v>0.54029959870925992</c:v>
                </c:pt>
                <c:pt idx="65">
                  <c:v>0.55346346493848775</c:v>
                </c:pt>
                <c:pt idx="66">
                  <c:v>0.56662733116771558</c:v>
                </c:pt>
                <c:pt idx="67">
                  <c:v>0.5797911973969434</c:v>
                </c:pt>
                <c:pt idx="68">
                  <c:v>0.59295506362617123</c:v>
                </c:pt>
                <c:pt idx="69">
                  <c:v>0.60611892985539906</c:v>
                </c:pt>
                <c:pt idx="70">
                  <c:v>0.61928279608462689</c:v>
                </c:pt>
                <c:pt idx="71">
                  <c:v>0.63244666231385471</c:v>
                </c:pt>
                <c:pt idx="72">
                  <c:v>0.64561052854308254</c:v>
                </c:pt>
                <c:pt idx="73">
                  <c:v>0.65877439477231037</c:v>
                </c:pt>
                <c:pt idx="74">
                  <c:v>0.6719382610015382</c:v>
                </c:pt>
                <c:pt idx="75">
                  <c:v>0.68510212723076602</c:v>
                </c:pt>
                <c:pt idx="76">
                  <c:v>0.69826599345999385</c:v>
                </c:pt>
                <c:pt idx="77">
                  <c:v>0.71142985968922168</c:v>
                </c:pt>
                <c:pt idx="78">
                  <c:v>0.7245937259184495</c:v>
                </c:pt>
                <c:pt idx="79">
                  <c:v>0.73775759214767733</c:v>
                </c:pt>
                <c:pt idx="80">
                  <c:v>0.75092145837690516</c:v>
                </c:pt>
                <c:pt idx="81">
                  <c:v>0.76408532460613299</c:v>
                </c:pt>
                <c:pt idx="82">
                  <c:v>0.77724919083536081</c:v>
                </c:pt>
                <c:pt idx="83">
                  <c:v>0.79041305706458864</c:v>
                </c:pt>
                <c:pt idx="84">
                  <c:v>0.80357692329381647</c:v>
                </c:pt>
                <c:pt idx="85">
                  <c:v>0.8167407895230443</c:v>
                </c:pt>
                <c:pt idx="86">
                  <c:v>0.82990465575227212</c:v>
                </c:pt>
                <c:pt idx="87">
                  <c:v>0.84306852198149995</c:v>
                </c:pt>
                <c:pt idx="88">
                  <c:v>0.85623238821072778</c:v>
                </c:pt>
                <c:pt idx="89">
                  <c:v>0.86939625443995561</c:v>
                </c:pt>
                <c:pt idx="90">
                  <c:v>0.88256012066918343</c:v>
                </c:pt>
                <c:pt idx="91">
                  <c:v>0.89572398689841126</c:v>
                </c:pt>
                <c:pt idx="92">
                  <c:v>0.90888785312763909</c:v>
                </c:pt>
                <c:pt idx="93">
                  <c:v>0.92205171935686692</c:v>
                </c:pt>
                <c:pt idx="94">
                  <c:v>0.93521558558609474</c:v>
                </c:pt>
                <c:pt idx="95">
                  <c:v>0.94837945181532257</c:v>
                </c:pt>
                <c:pt idx="96">
                  <c:v>0.9615433180445504</c:v>
                </c:pt>
                <c:pt idx="97">
                  <c:v>0.97470718427377823</c:v>
                </c:pt>
                <c:pt idx="98">
                  <c:v>0.98787105050300605</c:v>
                </c:pt>
                <c:pt idx="99">
                  <c:v>1.0010349167322339</c:v>
                </c:pt>
              </c:numCache>
            </c:numRef>
          </c:xVal>
          <c:yVal>
            <c:numRef>
              <c:f>'PR Solver'!$O$42:$O$142</c:f>
              <c:numCache>
                <c:formatCode>General</c:formatCode>
                <c:ptCount val="101"/>
                <c:pt idx="1">
                  <c:v>-37.59909788892832</c:v>
                </c:pt>
                <c:pt idx="2">
                  <c:v>-18.60380187090664</c:v>
                </c:pt>
                <c:pt idx="3">
                  <c:v>-12.269345850142608</c:v>
                </c:pt>
                <c:pt idx="4">
                  <c:v>-9.1000367658471326</c:v>
                </c:pt>
                <c:pt idx="5">
                  <c:v>-7.1967338816402062</c:v>
                </c:pt>
                <c:pt idx="6">
                  <c:v>-5.9263884210512359</c:v>
                </c:pt>
                <c:pt idx="7">
                  <c:v>-5.0176920816692707</c:v>
                </c:pt>
                <c:pt idx="8">
                  <c:v>-4.3349891587778444</c:v>
                </c:pt>
                <c:pt idx="9">
                  <c:v>-3.8029139152067053</c:v>
                </c:pt>
                <c:pt idx="10">
                  <c:v>-3.3762455247200993</c:v>
                </c:pt>
                <c:pt idx="11">
                  <c:v>-3.026205769092837</c:v>
                </c:pt>
                <c:pt idx="12">
                  <c:v>-2.7336078822307628</c:v>
                </c:pt>
                <c:pt idx="13">
                  <c:v>-2.4851674618297817</c:v>
                </c:pt>
                <c:pt idx="14">
                  <c:v>-2.271394414471164</c:v>
                </c:pt>
                <c:pt idx="15">
                  <c:v>-2.0853281182094738</c:v>
                </c:pt>
                <c:pt idx="16">
                  <c:v>-1.9217468946509504</c:v>
                </c:pt>
                <c:pt idx="17">
                  <c:v>-1.7766564862541987</c:v>
                </c:pt>
                <c:pt idx="18">
                  <c:v>-1.64694903644883</c:v>
                </c:pt>
                <c:pt idx="19">
                  <c:v>-1.5301697553556013</c:v>
                </c:pt>
                <c:pt idx="20">
                  <c:v>-1.4243535807412928</c:v>
                </c:pt>
                <c:pt idx="21">
                  <c:v>-1.3279085020372909</c:v>
                </c:pt>
                <c:pt idx="22">
                  <c:v>-1.239530699635002</c:v>
                </c:pt>
                <c:pt idx="23">
                  <c:v>-1.1581418160742298</c:v>
                </c:pt>
                <c:pt idx="24">
                  <c:v>-1.0828419034875323</c:v>
                </c:pt>
                <c:pt idx="25">
                  <c:v>-1.0128736574160304</c:v>
                </c:pt>
                <c:pt idx="26">
                  <c:v>-0.94759489779046502</c:v>
                </c:pt>
                <c:pt idx="27">
                  <c:v>-0.8864571583169214</c:v>
                </c:pt>
                <c:pt idx="28">
                  <c:v>-0.82898885651609622</c:v>
                </c:pt>
                <c:pt idx="29">
                  <c:v>-0.77478193804285944</c:v>
                </c:pt>
                <c:pt idx="30">
                  <c:v>-0.72348118386859317</c:v>
                </c:pt>
                <c:pt idx="31">
                  <c:v>-0.67477557822246048</c:v>
                </c:pt>
                <c:pt idx="32">
                  <c:v>-0.62839128562115876</c:v>
                </c:pt>
                <c:pt idx="33">
                  <c:v>-0.58408589471073658</c:v>
                </c:pt>
                <c:pt idx="34">
                  <c:v>-0.54164366706739597</c:v>
                </c:pt>
                <c:pt idx="35">
                  <c:v>-0.50087158883210281</c:v>
                </c:pt>
                <c:pt idx="36">
                  <c:v>-0.46159606783282636</c:v>
                </c:pt>
                <c:pt idx="37">
                  <c:v>-0.42366015271584279</c:v>
                </c:pt>
                <c:pt idx="38">
                  <c:v>-0.38692117643226975</c:v>
                </c:pt>
                <c:pt idx="39">
                  <c:v>-0.35124874626659319</c:v>
                </c:pt>
                <c:pt idx="40">
                  <c:v>-0.3165230179425097</c:v>
                </c:pt>
                <c:pt idx="41">
                  <c:v>-0.2826332032888883</c:v>
                </c:pt>
                <c:pt idx="42">
                  <c:v>-0.24947627029951491</c:v>
                </c:pt>
                <c:pt idx="43">
                  <c:v>-0.21695580177209961</c:v>
                </c:pt>
                <c:pt idx="44">
                  <c:v>-0.18498098451185607</c:v>
                </c:pt>
                <c:pt idx="45">
                  <c:v>-0.15346570566909545</c:v>
                </c:pt>
                <c:pt idx="46">
                  <c:v>-0.12232773640290207</c:v>
                </c:pt>
                <c:pt idx="47">
                  <c:v>-9.1487985916742787E-2</c:v>
                </c:pt>
                <c:pt idx="48">
                  <c:v>-6.0869811142790109E-2</c:v>
                </c:pt>
                <c:pt idx="49">
                  <c:v>-3.0398369070108733E-2</c:v>
                </c:pt>
                <c:pt idx="50">
                  <c:v>3.3306690738754696E-16</c:v>
                </c:pt>
                <c:pt idx="51">
                  <c:v>3.0398369070109288E-2</c:v>
                </c:pt>
                <c:pt idx="52">
                  <c:v>6.0869811142790886E-2</c:v>
                </c:pt>
                <c:pt idx="53">
                  <c:v>9.1487985916743675E-2</c:v>
                </c:pt>
                <c:pt idx="54">
                  <c:v>0.12232773640290273</c:v>
                </c:pt>
                <c:pt idx="55">
                  <c:v>0.15346570566909612</c:v>
                </c:pt>
                <c:pt idx="56">
                  <c:v>0.18498098451185685</c:v>
                </c:pt>
                <c:pt idx="57">
                  <c:v>0.21695580177210028</c:v>
                </c:pt>
                <c:pt idx="58">
                  <c:v>0.2494762702995158</c:v>
                </c:pt>
                <c:pt idx="59">
                  <c:v>0.28263320328888908</c:v>
                </c:pt>
                <c:pt idx="60">
                  <c:v>0.31652301794251059</c:v>
                </c:pt>
                <c:pt idx="61">
                  <c:v>0.35124874626659386</c:v>
                </c:pt>
                <c:pt idx="62">
                  <c:v>0.38692117643227064</c:v>
                </c:pt>
                <c:pt idx="63">
                  <c:v>0.4236601527158439</c:v>
                </c:pt>
                <c:pt idx="64">
                  <c:v>0.46159606783282758</c:v>
                </c:pt>
                <c:pt idx="65">
                  <c:v>0.50087158883210448</c:v>
                </c:pt>
                <c:pt idx="66">
                  <c:v>0.54164366706739742</c:v>
                </c:pt>
                <c:pt idx="67">
                  <c:v>0.58408589471073824</c:v>
                </c:pt>
                <c:pt idx="68">
                  <c:v>0.62839128562116009</c:v>
                </c:pt>
                <c:pt idx="69">
                  <c:v>0.67477557822246259</c:v>
                </c:pt>
                <c:pt idx="70">
                  <c:v>0.72348118386859528</c:v>
                </c:pt>
                <c:pt idx="71">
                  <c:v>0.77478193804286188</c:v>
                </c:pt>
                <c:pt idx="72">
                  <c:v>0.82898885651609855</c:v>
                </c:pt>
                <c:pt idx="73">
                  <c:v>0.88645715831692395</c:v>
                </c:pt>
                <c:pt idx="74">
                  <c:v>0.94759489779046824</c:v>
                </c:pt>
                <c:pt idx="75">
                  <c:v>1.0128736574160337</c:v>
                </c:pt>
                <c:pt idx="76">
                  <c:v>1.0828419034875361</c:v>
                </c:pt>
                <c:pt idx="77">
                  <c:v>1.1581418160742341</c:v>
                </c:pt>
                <c:pt idx="78">
                  <c:v>1.2395306996350071</c:v>
                </c:pt>
                <c:pt idx="79">
                  <c:v>1.3279085020372965</c:v>
                </c:pt>
                <c:pt idx="80">
                  <c:v>1.4243535807412984</c:v>
                </c:pt>
                <c:pt idx="81">
                  <c:v>1.5301697553556077</c:v>
                </c:pt>
                <c:pt idx="82">
                  <c:v>1.6469490364488377</c:v>
                </c:pt>
                <c:pt idx="83">
                  <c:v>1.776656486254208</c:v>
                </c:pt>
                <c:pt idx="84">
                  <c:v>1.9217468946509604</c:v>
                </c:pt>
                <c:pt idx="85">
                  <c:v>2.0853281182094854</c:v>
                </c:pt>
                <c:pt idx="86">
                  <c:v>2.2713944144711791</c:v>
                </c:pt>
                <c:pt idx="87">
                  <c:v>2.485167461829799</c:v>
                </c:pt>
                <c:pt idx="88">
                  <c:v>2.7336078822307828</c:v>
                </c:pt>
                <c:pt idx="89">
                  <c:v>3.0262057690928614</c:v>
                </c:pt>
                <c:pt idx="90">
                  <c:v>3.3762455247201317</c:v>
                </c:pt>
                <c:pt idx="91">
                  <c:v>3.8029139152067448</c:v>
                </c:pt>
                <c:pt idx="92">
                  <c:v>4.3349891587778941</c:v>
                </c:pt>
                <c:pt idx="93">
                  <c:v>5.0176920816693364</c:v>
                </c:pt>
                <c:pt idx="94">
                  <c:v>5.9263884210513336</c:v>
                </c:pt>
                <c:pt idx="95">
                  <c:v>7.1967338816403483</c:v>
                </c:pt>
                <c:pt idx="96">
                  <c:v>9.1000367658473529</c:v>
                </c:pt>
                <c:pt idx="97">
                  <c:v>12.269345850143001</c:v>
                </c:pt>
                <c:pt idx="98">
                  <c:v>18.603801870907578</c:v>
                </c:pt>
                <c:pt idx="99">
                  <c:v>37.599097888931986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D-4CF8-B152-91944CA66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698848"/>
        <c:axId val="1623549568"/>
      </c:scatterChart>
      <c:valAx>
        <c:axId val="1663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Vapor Phase Mole Fraction</a:t>
                </a:r>
                <a:r>
                  <a:rPr lang="en-US" baseline="0"/>
                  <a:t> (Bv)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549568"/>
        <c:crossesAt val="1.0000000000000002E-3"/>
        <c:crossBetween val="midCat"/>
      </c:valAx>
      <c:valAx>
        <c:axId val="1623549568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RR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69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RR Two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 Solver'!$N$43:$N$143</c:f>
              <c:numCache>
                <c:formatCode>General</c:formatCode>
                <c:ptCount val="101"/>
                <c:pt idx="0">
                  <c:v>-0.28902397373209215</c:v>
                </c:pt>
                <c:pt idx="1">
                  <c:v>-0.27586010750286433</c:v>
                </c:pt>
                <c:pt idx="2">
                  <c:v>-0.2626962412736365</c:v>
                </c:pt>
                <c:pt idx="3">
                  <c:v>-0.2495323750444087</c:v>
                </c:pt>
                <c:pt idx="4">
                  <c:v>-0.2363685088151809</c:v>
                </c:pt>
                <c:pt idx="5">
                  <c:v>-0.2232046425859531</c:v>
                </c:pt>
                <c:pt idx="6">
                  <c:v>-0.2100407763567253</c:v>
                </c:pt>
                <c:pt idx="7">
                  <c:v>-0.1968769101274975</c:v>
                </c:pt>
                <c:pt idx="8">
                  <c:v>-0.1837130438982697</c:v>
                </c:pt>
                <c:pt idx="9">
                  <c:v>-0.1705491776690419</c:v>
                </c:pt>
                <c:pt idx="10">
                  <c:v>-0.1573853114398141</c:v>
                </c:pt>
                <c:pt idx="11">
                  <c:v>-0.1442214452105863</c:v>
                </c:pt>
                <c:pt idx="12">
                  <c:v>-0.1310575789813585</c:v>
                </c:pt>
                <c:pt idx="13">
                  <c:v>-0.1178937127521307</c:v>
                </c:pt>
                <c:pt idx="14">
                  <c:v>-0.1047298465229029</c:v>
                </c:pt>
                <c:pt idx="15">
                  <c:v>-9.1565980293675103E-2</c:v>
                </c:pt>
                <c:pt idx="16">
                  <c:v>-7.8402114064447304E-2</c:v>
                </c:pt>
                <c:pt idx="17">
                  <c:v>-6.5238247835219504E-2</c:v>
                </c:pt>
                <c:pt idx="18">
                  <c:v>-5.2074381605991697E-2</c:v>
                </c:pt>
                <c:pt idx="19">
                  <c:v>-3.8910515376763891E-2</c:v>
                </c:pt>
                <c:pt idx="20">
                  <c:v>-2.5746649147536084E-2</c:v>
                </c:pt>
                <c:pt idx="21">
                  <c:v>-1.2582782918308279E-2</c:v>
                </c:pt>
                <c:pt idx="22">
                  <c:v>5.8108331091952584E-4</c:v>
                </c:pt>
                <c:pt idx="23">
                  <c:v>1.3744949540147331E-2</c:v>
                </c:pt>
                <c:pt idx="24">
                  <c:v>2.6908815769375136E-2</c:v>
                </c:pt>
                <c:pt idx="25">
                  <c:v>4.0072681998602942E-2</c:v>
                </c:pt>
                <c:pt idx="26">
                  <c:v>5.3236548227830749E-2</c:v>
                </c:pt>
                <c:pt idx="27">
                  <c:v>6.6400414457058549E-2</c:v>
                </c:pt>
                <c:pt idx="28">
                  <c:v>7.9564280686286348E-2</c:v>
                </c:pt>
                <c:pt idx="29">
                  <c:v>9.2728146915514148E-2</c:v>
                </c:pt>
                <c:pt idx="30">
                  <c:v>0.10589201314474195</c:v>
                </c:pt>
                <c:pt idx="31">
                  <c:v>0.11905587937396975</c:v>
                </c:pt>
                <c:pt idx="32">
                  <c:v>0.13221974560319755</c:v>
                </c:pt>
                <c:pt idx="33">
                  <c:v>0.14538361183242535</c:v>
                </c:pt>
                <c:pt idx="34">
                  <c:v>0.15854747806165315</c:v>
                </c:pt>
                <c:pt idx="35">
                  <c:v>0.17171134429088095</c:v>
                </c:pt>
                <c:pt idx="36">
                  <c:v>0.18487521052010875</c:v>
                </c:pt>
                <c:pt idx="37">
                  <c:v>0.19803907674933655</c:v>
                </c:pt>
                <c:pt idx="38">
                  <c:v>0.21120294297856435</c:v>
                </c:pt>
                <c:pt idx="39">
                  <c:v>0.22436680920779214</c:v>
                </c:pt>
                <c:pt idx="40">
                  <c:v>0.23753067543701994</c:v>
                </c:pt>
                <c:pt idx="41">
                  <c:v>0.25069454166624777</c:v>
                </c:pt>
                <c:pt idx="42">
                  <c:v>0.2638584078954756</c:v>
                </c:pt>
                <c:pt idx="43">
                  <c:v>0.27702227412470343</c:v>
                </c:pt>
                <c:pt idx="44">
                  <c:v>0.29018614035393125</c:v>
                </c:pt>
                <c:pt idx="45">
                  <c:v>0.30335000658315908</c:v>
                </c:pt>
                <c:pt idx="46">
                  <c:v>0.31651387281238691</c:v>
                </c:pt>
                <c:pt idx="47">
                  <c:v>0.32967773904161474</c:v>
                </c:pt>
                <c:pt idx="48">
                  <c:v>0.34284160527084256</c:v>
                </c:pt>
                <c:pt idx="49">
                  <c:v>0.35600547150007039</c:v>
                </c:pt>
                <c:pt idx="50">
                  <c:v>0.36916933772929822</c:v>
                </c:pt>
                <c:pt idx="51">
                  <c:v>0.38233320395852605</c:v>
                </c:pt>
                <c:pt idx="52">
                  <c:v>0.39549707018775387</c:v>
                </c:pt>
                <c:pt idx="53">
                  <c:v>0.4086609364169817</c:v>
                </c:pt>
                <c:pt idx="54">
                  <c:v>0.42182480264620953</c:v>
                </c:pt>
                <c:pt idx="55">
                  <c:v>0.43498866887543736</c:v>
                </c:pt>
                <c:pt idx="56">
                  <c:v>0.44815253510466518</c:v>
                </c:pt>
                <c:pt idx="57">
                  <c:v>0.46131640133389301</c:v>
                </c:pt>
                <c:pt idx="58">
                  <c:v>0.47448026756312084</c:v>
                </c:pt>
                <c:pt idx="59">
                  <c:v>0.48764413379234867</c:v>
                </c:pt>
                <c:pt idx="60">
                  <c:v>0.50080800002157644</c:v>
                </c:pt>
                <c:pt idx="61">
                  <c:v>0.51397186625080427</c:v>
                </c:pt>
                <c:pt idx="62">
                  <c:v>0.52713573248003209</c:v>
                </c:pt>
                <c:pt idx="63">
                  <c:v>0.54029959870925992</c:v>
                </c:pt>
                <c:pt idx="64">
                  <c:v>0.55346346493848775</c:v>
                </c:pt>
                <c:pt idx="65">
                  <c:v>0.56662733116771558</c:v>
                </c:pt>
                <c:pt idx="66">
                  <c:v>0.5797911973969434</c:v>
                </c:pt>
                <c:pt idx="67">
                  <c:v>0.59295506362617123</c:v>
                </c:pt>
                <c:pt idx="68">
                  <c:v>0.60611892985539906</c:v>
                </c:pt>
                <c:pt idx="69">
                  <c:v>0.61928279608462689</c:v>
                </c:pt>
                <c:pt idx="70">
                  <c:v>0.63244666231385471</c:v>
                </c:pt>
                <c:pt idx="71">
                  <c:v>0.64561052854308254</c:v>
                </c:pt>
                <c:pt idx="72">
                  <c:v>0.65877439477231037</c:v>
                </c:pt>
                <c:pt idx="73">
                  <c:v>0.6719382610015382</c:v>
                </c:pt>
                <c:pt idx="74">
                  <c:v>0.68510212723076602</c:v>
                </c:pt>
                <c:pt idx="75">
                  <c:v>0.69826599345999385</c:v>
                </c:pt>
                <c:pt idx="76">
                  <c:v>0.71142985968922168</c:v>
                </c:pt>
                <c:pt idx="77">
                  <c:v>0.7245937259184495</c:v>
                </c:pt>
                <c:pt idx="78">
                  <c:v>0.73775759214767733</c:v>
                </c:pt>
                <c:pt idx="79">
                  <c:v>0.75092145837690516</c:v>
                </c:pt>
                <c:pt idx="80">
                  <c:v>0.76408532460613299</c:v>
                </c:pt>
                <c:pt idx="81">
                  <c:v>0.77724919083536081</c:v>
                </c:pt>
                <c:pt idx="82">
                  <c:v>0.79041305706458864</c:v>
                </c:pt>
                <c:pt idx="83">
                  <c:v>0.80357692329381647</c:v>
                </c:pt>
                <c:pt idx="84">
                  <c:v>0.8167407895230443</c:v>
                </c:pt>
                <c:pt idx="85">
                  <c:v>0.82990465575227212</c:v>
                </c:pt>
                <c:pt idx="86">
                  <c:v>0.84306852198149995</c:v>
                </c:pt>
                <c:pt idx="87">
                  <c:v>0.85623238821072778</c:v>
                </c:pt>
                <c:pt idx="88">
                  <c:v>0.86939625443995561</c:v>
                </c:pt>
                <c:pt idx="89">
                  <c:v>0.88256012066918343</c:v>
                </c:pt>
                <c:pt idx="90">
                  <c:v>0.89572398689841126</c:v>
                </c:pt>
                <c:pt idx="91">
                  <c:v>0.90888785312763909</c:v>
                </c:pt>
                <c:pt idx="92">
                  <c:v>0.92205171935686692</c:v>
                </c:pt>
                <c:pt idx="93">
                  <c:v>0.93521558558609474</c:v>
                </c:pt>
                <c:pt idx="94">
                  <c:v>0.94837945181532257</c:v>
                </c:pt>
                <c:pt idx="95">
                  <c:v>0.9615433180445504</c:v>
                </c:pt>
                <c:pt idx="96">
                  <c:v>0.97470718427377823</c:v>
                </c:pt>
                <c:pt idx="97">
                  <c:v>0.98787105050300605</c:v>
                </c:pt>
                <c:pt idx="98">
                  <c:v>1.0010349167322339</c:v>
                </c:pt>
              </c:numCache>
            </c:numRef>
          </c:xVal>
          <c:yVal>
            <c:numRef>
              <c:f>'PR Solver'!$O$43:$O$143</c:f>
              <c:numCache>
                <c:formatCode>General</c:formatCode>
                <c:ptCount val="101"/>
                <c:pt idx="0">
                  <c:v>-37.59909788892832</c:v>
                </c:pt>
                <c:pt idx="1">
                  <c:v>-18.60380187090664</c:v>
                </c:pt>
                <c:pt idx="2">
                  <c:v>-12.269345850142608</c:v>
                </c:pt>
                <c:pt idx="3">
                  <c:v>-9.1000367658471326</c:v>
                </c:pt>
                <c:pt idx="4">
                  <c:v>-7.1967338816402062</c:v>
                </c:pt>
                <c:pt idx="5">
                  <c:v>-5.9263884210512359</c:v>
                </c:pt>
                <c:pt idx="6">
                  <c:v>-5.0176920816692707</c:v>
                </c:pt>
                <c:pt idx="7">
                  <c:v>-4.3349891587778444</c:v>
                </c:pt>
                <c:pt idx="8">
                  <c:v>-3.8029139152067053</c:v>
                </c:pt>
                <c:pt idx="9">
                  <c:v>-3.3762455247200993</c:v>
                </c:pt>
                <c:pt idx="10">
                  <c:v>-3.026205769092837</c:v>
                </c:pt>
                <c:pt idx="11">
                  <c:v>-2.7336078822307628</c:v>
                </c:pt>
                <c:pt idx="12">
                  <c:v>-2.4851674618297817</c:v>
                </c:pt>
                <c:pt idx="13">
                  <c:v>-2.271394414471164</c:v>
                </c:pt>
                <c:pt idx="14">
                  <c:v>-2.0853281182094738</c:v>
                </c:pt>
                <c:pt idx="15">
                  <c:v>-1.9217468946509504</c:v>
                </c:pt>
                <c:pt idx="16">
                  <c:v>-1.7766564862541987</c:v>
                </c:pt>
                <c:pt idx="17">
                  <c:v>-1.64694903644883</c:v>
                </c:pt>
                <c:pt idx="18">
                  <c:v>-1.5301697553556013</c:v>
                </c:pt>
                <c:pt idx="19">
                  <c:v>-1.4243535807412928</c:v>
                </c:pt>
                <c:pt idx="20">
                  <c:v>-1.3279085020372909</c:v>
                </c:pt>
                <c:pt idx="21">
                  <c:v>-1.239530699635002</c:v>
                </c:pt>
                <c:pt idx="22">
                  <c:v>-1.1581418160742298</c:v>
                </c:pt>
                <c:pt idx="23">
                  <c:v>-1.0828419034875323</c:v>
                </c:pt>
                <c:pt idx="24">
                  <c:v>-1.0128736574160304</c:v>
                </c:pt>
                <c:pt idx="25">
                  <c:v>-0.94759489779046502</c:v>
                </c:pt>
                <c:pt idx="26">
                  <c:v>-0.8864571583169214</c:v>
                </c:pt>
                <c:pt idx="27">
                  <c:v>-0.82898885651609622</c:v>
                </c:pt>
                <c:pt idx="28">
                  <c:v>-0.77478193804285944</c:v>
                </c:pt>
                <c:pt idx="29">
                  <c:v>-0.72348118386859317</c:v>
                </c:pt>
                <c:pt idx="30">
                  <c:v>-0.67477557822246048</c:v>
                </c:pt>
                <c:pt idx="31">
                  <c:v>-0.62839128562115876</c:v>
                </c:pt>
                <c:pt idx="32">
                  <c:v>-0.58408589471073658</c:v>
                </c:pt>
                <c:pt idx="33">
                  <c:v>-0.54164366706739597</c:v>
                </c:pt>
                <c:pt idx="34">
                  <c:v>-0.50087158883210281</c:v>
                </c:pt>
                <c:pt idx="35">
                  <c:v>-0.46159606783282636</c:v>
                </c:pt>
                <c:pt idx="36">
                  <c:v>-0.42366015271584279</c:v>
                </c:pt>
                <c:pt idx="37">
                  <c:v>-0.38692117643226975</c:v>
                </c:pt>
                <c:pt idx="38">
                  <c:v>-0.35124874626659319</c:v>
                </c:pt>
                <c:pt idx="39">
                  <c:v>-0.3165230179425097</c:v>
                </c:pt>
                <c:pt idx="40">
                  <c:v>-0.2826332032888883</c:v>
                </c:pt>
                <c:pt idx="41">
                  <c:v>-0.24947627029951491</c:v>
                </c:pt>
                <c:pt idx="42">
                  <c:v>-0.21695580177209961</c:v>
                </c:pt>
                <c:pt idx="43">
                  <c:v>-0.18498098451185607</c:v>
                </c:pt>
                <c:pt idx="44">
                  <c:v>-0.15346570566909545</c:v>
                </c:pt>
                <c:pt idx="45">
                  <c:v>-0.12232773640290207</c:v>
                </c:pt>
                <c:pt idx="46">
                  <c:v>-9.1487985916742787E-2</c:v>
                </c:pt>
                <c:pt idx="47">
                  <c:v>-6.0869811142790109E-2</c:v>
                </c:pt>
                <c:pt idx="48">
                  <c:v>-3.0398369070108733E-2</c:v>
                </c:pt>
                <c:pt idx="49">
                  <c:v>3.3306690738754696E-16</c:v>
                </c:pt>
                <c:pt idx="50">
                  <c:v>3.0398369070109288E-2</c:v>
                </c:pt>
                <c:pt idx="51">
                  <c:v>6.0869811142790886E-2</c:v>
                </c:pt>
                <c:pt idx="52">
                  <c:v>9.1487985916743675E-2</c:v>
                </c:pt>
                <c:pt idx="53">
                  <c:v>0.12232773640290273</c:v>
                </c:pt>
                <c:pt idx="54">
                  <c:v>0.15346570566909612</c:v>
                </c:pt>
                <c:pt idx="55">
                  <c:v>0.18498098451185685</c:v>
                </c:pt>
                <c:pt idx="56">
                  <c:v>0.21695580177210028</c:v>
                </c:pt>
                <c:pt idx="57">
                  <c:v>0.2494762702995158</c:v>
                </c:pt>
                <c:pt idx="58">
                  <c:v>0.28263320328888908</c:v>
                </c:pt>
                <c:pt idx="59">
                  <c:v>0.31652301794251059</c:v>
                </c:pt>
                <c:pt idx="60">
                  <c:v>0.35124874626659386</c:v>
                </c:pt>
                <c:pt idx="61">
                  <c:v>0.38692117643227064</c:v>
                </c:pt>
                <c:pt idx="62">
                  <c:v>0.4236601527158439</c:v>
                </c:pt>
                <c:pt idx="63">
                  <c:v>0.46159606783282758</c:v>
                </c:pt>
                <c:pt idx="64">
                  <c:v>0.50087158883210448</c:v>
                </c:pt>
                <c:pt idx="65">
                  <c:v>0.54164366706739742</c:v>
                </c:pt>
                <c:pt idx="66">
                  <c:v>0.58408589471073824</c:v>
                </c:pt>
                <c:pt idx="67">
                  <c:v>0.62839128562116009</c:v>
                </c:pt>
                <c:pt idx="68">
                  <c:v>0.67477557822246259</c:v>
                </c:pt>
                <c:pt idx="69">
                  <c:v>0.72348118386859528</c:v>
                </c:pt>
                <c:pt idx="70">
                  <c:v>0.77478193804286188</c:v>
                </c:pt>
                <c:pt idx="71">
                  <c:v>0.82898885651609855</c:v>
                </c:pt>
                <c:pt idx="72">
                  <c:v>0.88645715831692395</c:v>
                </c:pt>
                <c:pt idx="73">
                  <c:v>0.94759489779046824</c:v>
                </c:pt>
                <c:pt idx="74">
                  <c:v>1.0128736574160337</c:v>
                </c:pt>
                <c:pt idx="75">
                  <c:v>1.0828419034875361</c:v>
                </c:pt>
                <c:pt idx="76">
                  <c:v>1.1581418160742341</c:v>
                </c:pt>
                <c:pt idx="77">
                  <c:v>1.2395306996350071</c:v>
                </c:pt>
                <c:pt idx="78">
                  <c:v>1.3279085020372965</c:v>
                </c:pt>
                <c:pt idx="79">
                  <c:v>1.4243535807412984</c:v>
                </c:pt>
                <c:pt idx="80">
                  <c:v>1.5301697553556077</c:v>
                </c:pt>
                <c:pt idx="81">
                  <c:v>1.6469490364488377</c:v>
                </c:pt>
                <c:pt idx="82">
                  <c:v>1.776656486254208</c:v>
                </c:pt>
                <c:pt idx="83">
                  <c:v>1.9217468946509604</c:v>
                </c:pt>
                <c:pt idx="84">
                  <c:v>2.0853281182094854</c:v>
                </c:pt>
                <c:pt idx="85">
                  <c:v>2.2713944144711791</c:v>
                </c:pt>
                <c:pt idx="86">
                  <c:v>2.485167461829799</c:v>
                </c:pt>
                <c:pt idx="87">
                  <c:v>2.7336078822307828</c:v>
                </c:pt>
                <c:pt idx="88">
                  <c:v>3.0262057690928614</c:v>
                </c:pt>
                <c:pt idx="89">
                  <c:v>3.3762455247201317</c:v>
                </c:pt>
                <c:pt idx="90">
                  <c:v>3.8029139152067448</c:v>
                </c:pt>
                <c:pt idx="91">
                  <c:v>4.3349891587778941</c:v>
                </c:pt>
                <c:pt idx="92">
                  <c:v>5.0176920816693364</c:v>
                </c:pt>
                <c:pt idx="93">
                  <c:v>5.9263884210513336</c:v>
                </c:pt>
                <c:pt idx="94">
                  <c:v>7.1967338816403483</c:v>
                </c:pt>
                <c:pt idx="95">
                  <c:v>9.1000367658473529</c:v>
                </c:pt>
                <c:pt idx="96">
                  <c:v>12.269345850143001</c:v>
                </c:pt>
                <c:pt idx="97">
                  <c:v>18.603801870907578</c:v>
                </c:pt>
                <c:pt idx="98">
                  <c:v>37.599097888931986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5-4E3F-92C1-8BC5D47D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698848"/>
        <c:axId val="1623549568"/>
      </c:scatterChart>
      <c:valAx>
        <c:axId val="1663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Vapor Phase Mole Fraction (Bv)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3549568"/>
        <c:crossesAt val="1.0000000000000002E-3"/>
        <c:crossBetween val="midCat"/>
      </c:valAx>
      <c:valAx>
        <c:axId val="16235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RR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69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Stability Analysis Error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Stability!$AB$6:$AB$134</c:f>
              <c:numCache>
                <c:formatCode>General</c:formatCode>
                <c:ptCount val="129"/>
                <c:pt idx="0">
                  <c:v>7.2331532553417732E-2</c:v>
                </c:pt>
                <c:pt idx="1">
                  <c:v>3.681755459503816E-2</c:v>
                </c:pt>
                <c:pt idx="2">
                  <c:v>2.271408277883108E-2</c:v>
                </c:pt>
                <c:pt idx="3">
                  <c:v>1.5528031906419826E-2</c:v>
                </c:pt>
                <c:pt idx="4">
                  <c:v>1.1323114705379889E-2</c:v>
                </c:pt>
                <c:pt idx="5">
                  <c:v>8.6321773876238406E-3</c:v>
                </c:pt>
                <c:pt idx="6">
                  <c:v>6.7980376137174447E-3</c:v>
                </c:pt>
                <c:pt idx="7">
                  <c:v>5.4878054628516582E-3</c:v>
                </c:pt>
                <c:pt idx="8">
                  <c:v>4.5171767319235334E-3</c:v>
                </c:pt>
                <c:pt idx="9">
                  <c:v>3.7769704712984908E-3</c:v>
                </c:pt>
                <c:pt idx="10">
                  <c:v>3.1989646051330256E-3</c:v>
                </c:pt>
                <c:pt idx="11">
                  <c:v>2.7386472671452333E-3</c:v>
                </c:pt>
                <c:pt idx="12">
                  <c:v>2.3659183505197467E-3</c:v>
                </c:pt>
                <c:pt idx="13">
                  <c:v>2.059800476409468E-3</c:v>
                </c:pt>
                <c:pt idx="14">
                  <c:v>1.805292626841426E-3</c:v>
                </c:pt>
                <c:pt idx="15">
                  <c:v>1.5914258387675906E-3</c:v>
                </c:pt>
                <c:pt idx="16">
                  <c:v>1.4100217526940018E-3</c:v>
                </c:pt>
                <c:pt idx="17">
                  <c:v>1.2548770563499678E-3</c:v>
                </c:pt>
                <c:pt idx="18">
                  <c:v>1.1212141572549683E-3</c:v>
                </c:pt>
                <c:pt idx="19">
                  <c:v>1.0053028981520384E-3</c:v>
                </c:pt>
                <c:pt idx="20">
                  <c:v>9.0419486563286799E-4</c:v>
                </c:pt>
                <c:pt idx="21">
                  <c:v>8.1553344388590743E-4</c:v>
                </c:pt>
                <c:pt idx="22">
                  <c:v>7.3741582999603539E-4</c:v>
                </c:pt>
                <c:pt idx="23">
                  <c:v>6.682913306200744E-4</c:v>
                </c:pt>
                <c:pt idx="24">
                  <c:v>6.0688540152620263E-4</c:v>
                </c:pt>
                <c:pt idx="25">
                  <c:v>5.5214222248622935E-4</c:v>
                </c:pt>
                <c:pt idx="26">
                  <c:v>5.0318079832789575E-4</c:v>
                </c:pt>
                <c:pt idx="27">
                  <c:v>4.5926105366184133E-4</c:v>
                </c:pt>
                <c:pt idx="28">
                  <c:v>4.1975739594030115E-4</c:v>
                </c:pt>
                <c:pt idx="29">
                  <c:v>3.8413791909353012E-4</c:v>
                </c:pt>
                <c:pt idx="30">
                  <c:v>3.5194790918524621E-4</c:v>
                </c:pt>
                <c:pt idx="31">
                  <c:v>3.2279666142720487E-4</c:v>
                </c:pt>
                <c:pt idx="32">
                  <c:v>2.9634686777935126E-4</c:v>
                </c:pt>
                <c:pt idx="33">
                  <c:v>2.7230601612659999E-4</c:v>
                </c:pt>
                <c:pt idx="34">
                  <c:v>2.5041937538494707E-4</c:v>
                </c:pt>
                <c:pt idx="35">
                  <c:v>2.3046423979439234E-4</c:v>
                </c:pt>
                <c:pt idx="36">
                  <c:v>2.122451796296998E-4</c:v>
                </c:pt>
                <c:pt idx="37">
                  <c:v>1.9559010132513821E-4</c:v>
                </c:pt>
                <c:pt idx="38">
                  <c:v>1.8034696243873771E-4</c:v>
                </c:pt>
                <c:pt idx="39">
                  <c:v>1.6638101937826999E-4</c:v>
                </c:pt>
                <c:pt idx="40">
                  <c:v>1.5357251084729961E-4</c:v>
                </c:pt>
                <c:pt idx="41">
                  <c:v>1.4181469950436121E-4</c:v>
                </c:pt>
                <c:pt idx="42">
                  <c:v>1.3101220944911063E-4</c:v>
                </c:pt>
                <c:pt idx="43">
                  <c:v>1.2107960922019823E-4</c:v>
                </c:pt>
                <c:pt idx="44">
                  <c:v>1.1194019936366928E-4</c:v>
                </c:pt>
                <c:pt idx="45">
                  <c:v>1.0352497125620808E-4</c:v>
                </c:pt>
                <c:pt idx="46">
                  <c:v>9.5771709757441759E-5</c:v>
                </c:pt>
                <c:pt idx="47">
                  <c:v>8.862421725541747E-5</c:v>
                </c:pt>
                <c:pt idx="48">
                  <c:v>8.2031640418867013E-5</c:v>
                </c:pt>
                <c:pt idx="49">
                  <c:v>7.5947884258797949E-5</c:v>
                </c:pt>
                <c:pt idx="50">
                  <c:v>7.0331100606169095E-5</c:v>
                </c:pt>
                <c:pt idx="51">
                  <c:v>6.5143240257803381E-5</c:v>
                </c:pt>
                <c:pt idx="52">
                  <c:v>6.0349659721736781E-5</c:v>
                </c:pt>
                <c:pt idx="53">
                  <c:v>5.5918775023144907E-5</c:v>
                </c:pt>
                <c:pt idx="54">
                  <c:v>5.1821756085479453E-5</c:v>
                </c:pt>
                <c:pt idx="55">
                  <c:v>4.8032256279695318E-5</c:v>
                </c:pt>
                <c:pt idx="56">
                  <c:v>4.4526172496506256E-5</c:v>
                </c:pt>
                <c:pt idx="57">
                  <c:v>4.1281431802819846E-5</c:v>
                </c:pt>
                <c:pt idx="58">
                  <c:v>3.8277801325148353E-5</c:v>
                </c:pt>
                <c:pt idx="59">
                  <c:v>3.5496718417626916E-5</c:v>
                </c:pt>
                <c:pt idx="60">
                  <c:v>3.2921138694574914E-5</c:v>
                </c:pt>
                <c:pt idx="61">
                  <c:v>3.0535399733966351E-5</c:v>
                </c:pt>
                <c:pt idx="62">
                  <c:v>2.8325098609172095E-5</c:v>
                </c:pt>
                <c:pt idx="63">
                  <c:v>2.6276981662243237E-5</c:v>
                </c:pt>
                <c:pt idx="64">
                  <c:v>2.4378845107420055E-5</c:v>
                </c:pt>
                <c:pt idx="65">
                  <c:v>2.2619445232852087E-5</c:v>
                </c:pt>
                <c:pt idx="66">
                  <c:v>2.0988417198331E-5</c:v>
                </c:pt>
                <c:pt idx="67">
                  <c:v>1.9476201413515248E-5</c:v>
                </c:pt>
                <c:pt idx="68">
                  <c:v>1.8073976785548673E-5</c:v>
                </c:pt>
                <c:pt idx="69">
                  <c:v>1.6773600012842671E-5</c:v>
                </c:pt>
                <c:pt idx="70">
                  <c:v>1.5567550403772223E-5</c:v>
                </c:pt>
                <c:pt idx="71">
                  <c:v>1.4448879569806117E-5</c:v>
                </c:pt>
                <c:pt idx="72">
                  <c:v>1.3411165555587967E-5</c:v>
                </c:pt>
                <c:pt idx="73">
                  <c:v>1.2448470968096093E-5</c:v>
                </c:pt>
                <c:pt idx="74">
                  <c:v>1.155530468971433E-5</c:v>
                </c:pt>
                <c:pt idx="75">
                  <c:v>1.0726586855580589E-5</c:v>
                </c:pt>
                <c:pt idx="76">
                  <c:v>9.957616771527622E-6</c:v>
                </c:pt>
                <c:pt idx="77">
                  <c:v>9.2440435222052031E-6</c:v>
                </c:pt>
                <c:pt idx="78">
                  <c:v>8.5818389888858704E-6</c:v>
                </c:pt>
                <c:pt idx="79">
                  <c:v>7.967273088549387E-6</c:v>
                </c:pt>
                <c:pt idx="80">
                  <c:v>7.3968910214716743E-6</c:v>
                </c:pt>
                <c:pt idx="81">
                  <c:v>6.8674923389133724E-6</c:v>
                </c:pt>
                <c:pt idx="82">
                  <c:v>6.3761117065630479E-6</c:v>
                </c:pt>
                <c:pt idx="83">
                  <c:v>5.9200011757187809E-6</c:v>
                </c:pt>
                <c:pt idx="84">
                  <c:v>5.4966138581802326E-6</c:v>
                </c:pt>
                <c:pt idx="85">
                  <c:v>5.103588883170751E-6</c:v>
                </c:pt>
                <c:pt idx="86">
                  <c:v>4.7387375219920536E-6</c:v>
                </c:pt>
                <c:pt idx="87">
                  <c:v>4.4000303842661737E-6</c:v>
                </c:pt>
                <c:pt idx="88">
                  <c:v>4.0855856126564838E-6</c:v>
                </c:pt>
                <c:pt idx="89">
                  <c:v>3.7936579593833564E-6</c:v>
                </c:pt>
                <c:pt idx="90">
                  <c:v>3.5226287217748897E-6</c:v>
                </c:pt>
                <c:pt idx="91">
                  <c:v>3.2709964238319955E-6</c:v>
                </c:pt>
                <c:pt idx="92">
                  <c:v>3.0373682088913334E-6</c:v>
                </c:pt>
                <c:pt idx="93">
                  <c:v>2.8204518801033807E-6</c:v>
                </c:pt>
                <c:pt idx="94">
                  <c:v>2.6190485376553774E-6</c:v>
                </c:pt>
                <c:pt idx="95">
                  <c:v>2.4320457649995575E-6</c:v>
                </c:pt>
                <c:pt idx="96">
                  <c:v>2.2584113310020193E-6</c:v>
                </c:pt>
                <c:pt idx="97">
                  <c:v>2.0971873427866328E-6</c:v>
                </c:pt>
                <c:pt idx="98">
                  <c:v>1.9474848582667903E-6</c:v>
                </c:pt>
                <c:pt idx="99">
                  <c:v>1.8084788624417314E-6</c:v>
                </c:pt>
                <c:pt idx="100">
                  <c:v>1.6794036533651635E-6</c:v>
                </c:pt>
                <c:pt idx="101">
                  <c:v>1.5595485294284117E-6</c:v>
                </c:pt>
                <c:pt idx="102">
                  <c:v>1.448253827418533E-6</c:v>
                </c:pt>
                <c:pt idx="103">
                  <c:v>1.3449072188143063E-6</c:v>
                </c:pt>
                <c:pt idx="104">
                  <c:v>1.2489403052873271E-6</c:v>
                </c:pt>
                <c:pt idx="105">
                  <c:v>1.1598254464617597E-6</c:v>
                </c:pt>
                <c:pt idx="106">
                  <c:v>1.0770728154363418E-6</c:v>
                </c:pt>
                <c:pt idx="107">
                  <c:v>1.0002276851772685E-6</c:v>
                </c:pt>
                <c:pt idx="108">
                  <c:v>1.2474653612315478E-6</c:v>
                </c:pt>
                <c:pt idx="109">
                  <c:v>1.1584752996895986E-6</c:v>
                </c:pt>
                <c:pt idx="110">
                  <c:v>1.0758358683915503E-6</c:v>
                </c:pt>
                <c:pt idx="111">
                  <c:v>3.3692379890482016E-6</c:v>
                </c:pt>
                <c:pt idx="112">
                  <c:v>3.1289072346396551E-6</c:v>
                </c:pt>
                <c:pt idx="113">
                  <c:v>2.9057245924946074E-6</c:v>
                </c:pt>
                <c:pt idx="114">
                  <c:v>2.6984658170192688E-6</c:v>
                </c:pt>
                <c:pt idx="115">
                  <c:v>2.5059941375360495E-6</c:v>
                </c:pt>
                <c:pt idx="116">
                  <c:v>2.3272540392582641E-6</c:v>
                </c:pt>
                <c:pt idx="117">
                  <c:v>2.1612654066416326E-6</c:v>
                </c:pt>
                <c:pt idx="118">
                  <c:v>2.0071181570102681E-6</c:v>
                </c:pt>
                <c:pt idx="119">
                  <c:v>1.8639672063613943E-6</c:v>
                </c:pt>
                <c:pt idx="120">
                  <c:v>1.7310278259685674E-6</c:v>
                </c:pt>
                <c:pt idx="121">
                  <c:v>1.6075713382690537E-6</c:v>
                </c:pt>
                <c:pt idx="122">
                  <c:v>1.4929210827574479E-6</c:v>
                </c:pt>
                <c:pt idx="123">
                  <c:v>1.3864487247161605E-6</c:v>
                </c:pt>
                <c:pt idx="124">
                  <c:v>1.2875707842141537E-6</c:v>
                </c:pt>
                <c:pt idx="125">
                  <c:v>1.1957454209010621E-6</c:v>
                </c:pt>
                <c:pt idx="126">
                  <c:v>1.1104694959129802E-6</c:v>
                </c:pt>
                <c:pt idx="127">
                  <c:v>1.0312757616759427E-6</c:v>
                </c:pt>
                <c:pt idx="128">
                  <c:v>9.5773032704471461E-7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DD-4A6C-B0E9-B0CC2C27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294703"/>
        <c:axId val="1951287567"/>
      </c:lineChart>
      <c:catAx>
        <c:axId val="1994294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 #</a:t>
                </a:r>
              </a:p>
            </c:rich>
          </c:tx>
          <c:layout>
            <c:manualLayout>
              <c:xMode val="edge"/>
              <c:yMode val="edge"/>
              <c:x val="0.48593661086481837"/>
              <c:y val="0.90309333635453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87567"/>
        <c:crosses val="autoZero"/>
        <c:auto val="1"/>
        <c:lblAlgn val="ctr"/>
        <c:lblOffset val="100"/>
        <c:noMultiLvlLbl val="0"/>
      </c:catAx>
      <c:valAx>
        <c:axId val="195128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294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PT Flash Error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val>
            <c:numRef>
              <c:f>Stability!$AC$6:$AC$48</c:f>
              <c:numCache>
                <c:formatCode>General</c:formatCode>
                <c:ptCount val="43"/>
                <c:pt idx="0">
                  <c:v>2.1055540976647302E-2</c:v>
                </c:pt>
                <c:pt idx="1">
                  <c:v>1.3002971748515724E-2</c:v>
                </c:pt>
                <c:pt idx="2">
                  <c:v>8.6539119165388589E-3</c:v>
                </c:pt>
                <c:pt idx="3">
                  <c:v>6.0114258660976527E-3</c:v>
                </c:pt>
                <c:pt idx="4">
                  <c:v>4.2933035881149162E-3</c:v>
                </c:pt>
                <c:pt idx="5">
                  <c:v>3.1266731565521289E-3</c:v>
                </c:pt>
                <c:pt idx="6">
                  <c:v>2.3104524054773368E-3</c:v>
                </c:pt>
                <c:pt idx="7">
                  <c:v>1.7267603851821578E-3</c:v>
                </c:pt>
                <c:pt idx="8">
                  <c:v>1.3022980518840876E-3</c:v>
                </c:pt>
                <c:pt idx="9">
                  <c:v>9.8949031963246892E-4</c:v>
                </c:pt>
                <c:pt idx="10">
                  <c:v>7.564484586369824E-4</c:v>
                </c:pt>
                <c:pt idx="11">
                  <c:v>5.8125827641852812E-4</c:v>
                </c:pt>
                <c:pt idx="12">
                  <c:v>4.4855630094980947E-4</c:v>
                </c:pt>
                <c:pt idx="13">
                  <c:v>3.4739238330333544E-4</c:v>
                </c:pt>
                <c:pt idx="14">
                  <c:v>2.6985204595658674E-4</c:v>
                </c:pt>
                <c:pt idx="15">
                  <c:v>2.1014551896647582E-4</c:v>
                </c:pt>
                <c:pt idx="16">
                  <c:v>1.6399258892108026E-4</c:v>
                </c:pt>
                <c:pt idx="17">
                  <c:v>1.2819975685829377E-4</c:v>
                </c:pt>
                <c:pt idx="18">
                  <c:v>1.0036505096544523E-4</c:v>
                </c:pt>
                <c:pt idx="19">
                  <c:v>7.8669089174310258E-5</c:v>
                </c:pt>
                <c:pt idx="20">
                  <c:v>6.1725326974626515E-5</c:v>
                </c:pt>
                <c:pt idx="21">
                  <c:v>4.8471490294244024E-5</c:v>
                </c:pt>
                <c:pt idx="22">
                  <c:v>3.8090038959937011E-5</c:v>
                </c:pt>
                <c:pt idx="23">
                  <c:v>2.9949340191237628E-5</c:v>
                </c:pt>
                <c:pt idx="24">
                  <c:v>2.3559782990234535E-5</c:v>
                </c:pt>
                <c:pt idx="25">
                  <c:v>1.8540784711529312E-5</c:v>
                </c:pt>
                <c:pt idx="26">
                  <c:v>1.4595815571893933E-5</c:v>
                </c:pt>
                <c:pt idx="27">
                  <c:v>1.1493378035742907E-5</c:v>
                </c:pt>
                <c:pt idx="28">
                  <c:v>9.0524446708095674E-6</c:v>
                </c:pt>
                <c:pt idx="29">
                  <c:v>7.1312583980742694E-6</c:v>
                </c:pt>
                <c:pt idx="30">
                  <c:v>5.6186849098360803E-6</c:v>
                </c:pt>
                <c:pt idx="31">
                  <c:v>4.4275132295434894E-6</c:v>
                </c:pt>
                <c:pt idx="32">
                  <c:v>3.489250749166839E-6</c:v>
                </c:pt>
                <c:pt idx="33">
                  <c:v>2.7500695844451251E-6</c:v>
                </c:pt>
                <c:pt idx="34">
                  <c:v>2.1676431542494434E-6</c:v>
                </c:pt>
                <c:pt idx="35">
                  <c:v>1.7086732857496401E-6</c:v>
                </c:pt>
                <c:pt idx="36">
                  <c:v>1.3469543056476851E-6</c:v>
                </c:pt>
                <c:pt idx="37">
                  <c:v>1.0618557272357165E-6</c:v>
                </c:pt>
                <c:pt idx="38">
                  <c:v>2.0829710809522339E-6</c:v>
                </c:pt>
                <c:pt idx="39">
                  <c:v>1.6405788523243814E-6</c:v>
                </c:pt>
                <c:pt idx="40">
                  <c:v>1.2923811807397101E-6</c:v>
                </c:pt>
                <c:pt idx="41">
                  <c:v>1.0182418508364321E-6</c:v>
                </c:pt>
                <c:pt idx="42">
                  <c:v>8.0235635202541289E-7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F-4797-9C0A-F516C8575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294703"/>
        <c:axId val="1951287567"/>
      </c:lineChart>
      <c:catAx>
        <c:axId val="1994294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 #</a:t>
                </a:r>
              </a:p>
            </c:rich>
          </c:tx>
          <c:layout>
            <c:manualLayout>
              <c:xMode val="edge"/>
              <c:yMode val="edge"/>
              <c:x val="0.48593661086481837"/>
              <c:y val="0.90309333635453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87567"/>
        <c:crosses val="autoZero"/>
        <c:auto val="1"/>
        <c:lblAlgn val="ctr"/>
        <c:lblOffset val="100"/>
        <c:noMultiLvlLbl val="0"/>
      </c:catAx>
      <c:valAx>
        <c:axId val="195128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294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25</xdr:row>
          <xdr:rowOff>66675</xdr:rowOff>
        </xdr:from>
        <xdr:to>
          <xdr:col>3</xdr:col>
          <xdr:colOff>904875</xdr:colOff>
          <xdr:row>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Vapor Pressure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25</xdr:row>
          <xdr:rowOff>76200</xdr:rowOff>
        </xdr:from>
        <xdr:to>
          <xdr:col>13</xdr:col>
          <xdr:colOff>333375</xdr:colOff>
          <xdr:row>27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for Phase Compositions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27</xdr:row>
          <xdr:rowOff>142875</xdr:rowOff>
        </xdr:from>
        <xdr:to>
          <xdr:col>21</xdr:col>
          <xdr:colOff>600075</xdr:colOff>
          <xdr:row>29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Fugacity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27</xdr:row>
          <xdr:rowOff>142875</xdr:rowOff>
        </xdr:from>
        <xdr:to>
          <xdr:col>20</xdr:col>
          <xdr:colOff>104775</xdr:colOff>
          <xdr:row>29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Kij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</xdr:row>
          <xdr:rowOff>142875</xdr:rowOff>
        </xdr:from>
        <xdr:to>
          <xdr:col>14</xdr:col>
          <xdr:colOff>114300</xdr:colOff>
          <xdr:row>3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Vapor Pressure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4</xdr:row>
          <xdr:rowOff>142875</xdr:rowOff>
        </xdr:from>
        <xdr:to>
          <xdr:col>14</xdr:col>
          <xdr:colOff>114300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 (Constant K Flash)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7</xdr:row>
          <xdr:rowOff>142875</xdr:rowOff>
        </xdr:from>
        <xdr:to>
          <xdr:col>14</xdr:col>
          <xdr:colOff>123825</xdr:colOff>
          <xdr:row>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Mixture Fugacity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28</xdr:row>
          <xdr:rowOff>28575</xdr:rowOff>
        </xdr:from>
        <xdr:to>
          <xdr:col>13</xdr:col>
          <xdr:colOff>333375</xdr:colOff>
          <xdr:row>30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RR Function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55</xdr:row>
      <xdr:rowOff>0</xdr:rowOff>
    </xdr:from>
    <xdr:to>
      <xdr:col>12</xdr:col>
      <xdr:colOff>28575</xdr:colOff>
      <xdr:row>69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39</xdr:row>
      <xdr:rowOff>166687</xdr:rowOff>
    </xdr:from>
    <xdr:to>
      <xdr:col>12</xdr:col>
      <xdr:colOff>38100</xdr:colOff>
      <xdr:row>54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40</xdr:row>
          <xdr:rowOff>123825</xdr:rowOff>
        </xdr:from>
        <xdr:to>
          <xdr:col>3</xdr:col>
          <xdr:colOff>885825</xdr:colOff>
          <xdr:row>42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10</xdr:row>
          <xdr:rowOff>123825</xdr:rowOff>
        </xdr:from>
        <xdr:to>
          <xdr:col>14</xdr:col>
          <xdr:colOff>123825</xdr:colOff>
          <xdr:row>12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Phase Stability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0.09236</cdr:x>
      <cdr:y>0.17708</cdr:y>
    </cdr:from>
    <cdr:to>
      <cdr:x>0.86875</cdr:x>
      <cdr:y>0.87153</cdr:y>
    </cdr:to>
    <cdr:grpSp>
      <cdr:nvGrpSpPr>
        <cdr:cNvPr id="6" name="Group 5">
          <a:extLst xmlns:a="http://schemas.openxmlformats.org/drawingml/2006/main">
            <a:ext uri="{FF2B5EF4-FFF2-40B4-BE49-F238E27FC236}">
              <a16:creationId xmlns:a16="http://schemas.microsoft.com/office/drawing/2014/main" id="{0C72DAA5-1F25-4CC5-9170-420F011636A1}"/>
            </a:ext>
          </a:extLst>
        </cdr:cNvPr>
        <cdr:cNvGrpSpPr/>
      </cdr:nvGrpSpPr>
      <cdr:grpSpPr>
        <a:xfrm xmlns:a="http://schemas.openxmlformats.org/drawingml/2006/main">
          <a:off x="422270" y="485766"/>
          <a:ext cx="3549655" cy="1905015"/>
          <a:chOff x="422275" y="485775"/>
          <a:chExt cx="3549650" cy="1905000"/>
        </a:xfrm>
      </cdr:grpSpPr>
      <cdr:cxnSp macro="">
        <cdr:nvCxnSpPr>
          <cdr:cNvPr id="2" name="Straight Connector 1">
            <a:extLst xmlns:a="http://schemas.openxmlformats.org/drawingml/2006/main">
              <a:ext uri="{FF2B5EF4-FFF2-40B4-BE49-F238E27FC236}">
                <a16:creationId xmlns:a16="http://schemas.microsoft.com/office/drawing/2014/main" id="{440AA7F3-97BF-4914-87C1-E56FA709FEFE}"/>
              </a:ext>
            </a:extLst>
          </cdr:cNvPr>
          <cdr:cNvCxnSpPr/>
        </cdr:nvCxnSpPr>
        <cdr:spPr>
          <a:xfrm xmlns:a="http://schemas.openxmlformats.org/drawingml/2006/main">
            <a:off x="479425" y="485775"/>
            <a:ext cx="0" cy="1905000"/>
          </a:xfrm>
          <a:prstGeom xmlns:a="http://schemas.openxmlformats.org/drawingml/2006/main" prst="line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3" name="Straight Connector 2">
            <a:extLst xmlns:a="http://schemas.openxmlformats.org/drawingml/2006/main">
              <a:ext uri="{FF2B5EF4-FFF2-40B4-BE49-F238E27FC236}">
                <a16:creationId xmlns:a16="http://schemas.microsoft.com/office/drawing/2014/main" id="{B67DEC78-FCD2-47C5-A6AB-4F1531422066}"/>
              </a:ext>
            </a:extLst>
          </cdr:cNvPr>
          <cdr:cNvCxnSpPr/>
        </cdr:nvCxnSpPr>
        <cdr:spPr>
          <a:xfrm xmlns:a="http://schemas.openxmlformats.org/drawingml/2006/main">
            <a:off x="3813175" y="485775"/>
            <a:ext cx="0" cy="1905000"/>
          </a:xfrm>
          <a:prstGeom xmlns:a="http://schemas.openxmlformats.org/drawingml/2006/main" prst="line">
            <a:avLst/>
          </a:prstGeom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sp macro="" textlink="">
        <cdr:nvSpPr>
          <cdr:cNvPr id="4" name="TextBox 4">
            <a:extLst xmlns:a="http://schemas.openxmlformats.org/drawingml/2006/main">
              <a:ext uri="{FF2B5EF4-FFF2-40B4-BE49-F238E27FC236}">
                <a16:creationId xmlns:a16="http://schemas.microsoft.com/office/drawing/2014/main" id="{32AECAEE-ADE2-46A1-BB86-D4EE3A78C772}"/>
              </a:ext>
            </a:extLst>
          </cdr:cNvPr>
          <cdr:cNvSpPr txBox="1"/>
        </cdr:nvSpPr>
        <cdr:spPr>
          <a:xfrm xmlns:a="http://schemas.openxmlformats.org/drawingml/2006/main">
            <a:off x="422275" y="536575"/>
            <a:ext cx="876300" cy="41910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50"/>
              <a:t>Kmax Pole:</a:t>
            </a:r>
            <a:r>
              <a:rPr lang="en-US" sz="1050" baseline="0"/>
              <a:t>   -1.848</a:t>
            </a:r>
            <a:endParaRPr lang="en-US" sz="1050"/>
          </a:p>
        </cdr:txBody>
      </cdr:sp>
      <cdr:sp macro="" textlink="">
        <cdr:nvSpPr>
          <cdr:cNvPr id="5" name="TextBox 16">
            <a:extLst xmlns:a="http://schemas.openxmlformats.org/drawingml/2006/main">
              <a:ext uri="{FF2B5EF4-FFF2-40B4-BE49-F238E27FC236}">
                <a16:creationId xmlns:a16="http://schemas.microsoft.com/office/drawing/2014/main" id="{1C631BAC-DB0B-4F96-88DC-B468E3388A3B}"/>
              </a:ext>
            </a:extLst>
          </cdr:cNvPr>
          <cdr:cNvSpPr txBox="1"/>
        </cdr:nvSpPr>
        <cdr:spPr>
          <a:xfrm xmlns:a="http://schemas.openxmlformats.org/drawingml/2006/main">
            <a:off x="3095625" y="1755775"/>
            <a:ext cx="876300" cy="41910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square" rtlCol="0" anchor="t"/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US" sz="1050"/>
              <a:t>Kmin Pole:</a:t>
            </a:r>
            <a:r>
              <a:rPr lang="en-US" sz="1050" baseline="0"/>
              <a:t> 1.02508</a:t>
            </a:r>
            <a:endParaRPr lang="en-US" sz="1050"/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3</xdr:row>
      <xdr:rowOff>57150</xdr:rowOff>
    </xdr:from>
    <xdr:to>
      <xdr:col>6</xdr:col>
      <xdr:colOff>533399</xdr:colOff>
      <xdr:row>6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4" y="638175"/>
          <a:ext cx="2847975" cy="609600"/>
        </a:xfrm>
        <a:prstGeom prst="rect">
          <a:avLst/>
        </a:prstGeom>
        <a:noFill/>
        <a:ln w="38100"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152400</xdr:rowOff>
        </xdr:from>
        <xdr:to>
          <xdr:col>12</xdr:col>
          <xdr:colOff>419100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Phase Stability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3</xdr:row>
          <xdr:rowOff>142875</xdr:rowOff>
        </xdr:from>
        <xdr:to>
          <xdr:col>3</xdr:col>
          <xdr:colOff>571500</xdr:colOff>
          <xdr:row>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Kij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1</xdr:row>
          <xdr:rowOff>142875</xdr:rowOff>
        </xdr:from>
        <xdr:to>
          <xdr:col>17</xdr:col>
          <xdr:colOff>523875</xdr:colOff>
          <xdr:row>3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1</xdr:row>
          <xdr:rowOff>152400</xdr:rowOff>
        </xdr:from>
        <xdr:to>
          <xdr:col>14</xdr:col>
          <xdr:colOff>266700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Two Phase PT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1</xdr:row>
          <xdr:rowOff>142875</xdr:rowOff>
        </xdr:from>
        <xdr:to>
          <xdr:col>16</xdr:col>
          <xdr:colOff>104775</xdr:colOff>
          <xdr:row>3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142875</xdr:rowOff>
        </xdr:from>
        <xdr:to>
          <xdr:col>6</xdr:col>
          <xdr:colOff>371475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Lucida Handwriting"/>
                </a:rPr>
                <a:t>SA + Flash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304800</xdr:colOff>
      <xdr:row>5</xdr:row>
      <xdr:rowOff>152400</xdr:rowOff>
    </xdr:from>
    <xdr:to>
      <xdr:col>18</xdr:col>
      <xdr:colOff>209550</xdr:colOff>
      <xdr:row>17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314325</xdr:colOff>
      <xdr:row>17</xdr:row>
      <xdr:rowOff>180975</xdr:rowOff>
    </xdr:from>
    <xdr:to>
      <xdr:col>18</xdr:col>
      <xdr:colOff>219075</xdr:colOff>
      <xdr:row>29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3B20-00E6-4B3C-9DAD-6281C8C9FE02}">
  <sheetPr codeName="Sheet1">
    <pageSetUpPr fitToPage="1"/>
  </sheetPr>
  <dimension ref="B1:AH141"/>
  <sheetViews>
    <sheetView showGridLines="0" topLeftCell="M10" zoomScaleNormal="100" workbookViewId="0">
      <selection activeCell="Q25" sqref="Q25:AH38"/>
    </sheetView>
  </sheetViews>
  <sheetFormatPr defaultColWidth="8.85546875" defaultRowHeight="15" x14ac:dyDescent="0.25"/>
  <cols>
    <col min="1" max="1" width="0.85546875" customWidth="1"/>
    <col min="2" max="2" width="15.42578125" customWidth="1"/>
    <col min="3" max="3" width="10.42578125" bestFit="1" customWidth="1"/>
    <col min="4" max="4" width="15" customWidth="1"/>
    <col min="6" max="6" width="10.140625" customWidth="1"/>
    <col min="8" max="8" width="9.42578125" customWidth="1"/>
    <col min="11" max="11" width="11.85546875" customWidth="1"/>
  </cols>
  <sheetData>
    <row r="1" spans="2:20" ht="15.75" x14ac:dyDescent="0.25">
      <c r="B1" s="111" t="s">
        <v>0</v>
      </c>
      <c r="C1" s="112"/>
      <c r="D1" s="113"/>
      <c r="F1" s="101" t="s">
        <v>37</v>
      </c>
      <c r="G1" s="102"/>
      <c r="H1" s="102"/>
      <c r="I1" s="102"/>
      <c r="J1" s="102"/>
      <c r="K1" s="103"/>
      <c r="M1" s="100" t="s">
        <v>85</v>
      </c>
      <c r="N1" s="100"/>
      <c r="O1" s="100"/>
    </row>
    <row r="2" spans="2:20" x14ac:dyDescent="0.25">
      <c r="B2" s="29" t="s">
        <v>52</v>
      </c>
      <c r="C2" s="116" t="s">
        <v>96</v>
      </c>
      <c r="D2" s="117"/>
      <c r="F2" s="121" t="s">
        <v>36</v>
      </c>
      <c r="G2" s="122"/>
      <c r="I2" s="118" t="s">
        <v>29</v>
      </c>
      <c r="J2" s="119"/>
      <c r="K2" s="120"/>
      <c r="M2" s="48"/>
      <c r="N2" s="48"/>
      <c r="O2" s="48"/>
    </row>
    <row r="3" spans="2:20" ht="15.75" thickBot="1" x14ac:dyDescent="0.3">
      <c r="B3" s="29" t="s">
        <v>1</v>
      </c>
      <c r="C3" s="3">
        <v>190.6</v>
      </c>
      <c r="D3" s="30" t="s">
        <v>9</v>
      </c>
      <c r="F3" s="7" t="s">
        <v>15</v>
      </c>
      <c r="G3" s="2">
        <f>-1+C21</f>
        <v>-0.99886017323071985</v>
      </c>
      <c r="I3" s="1"/>
      <c r="J3" s="4" t="s">
        <v>30</v>
      </c>
      <c r="K3" s="8" t="s">
        <v>31</v>
      </c>
      <c r="M3" s="48"/>
      <c r="N3" s="48"/>
      <c r="O3" s="48"/>
    </row>
    <row r="4" spans="2:20" x14ac:dyDescent="0.25">
      <c r="B4" s="29" t="s">
        <v>2</v>
      </c>
      <c r="C4" s="87">
        <v>46.001600000000003</v>
      </c>
      <c r="D4" s="30" t="s">
        <v>51</v>
      </c>
      <c r="F4" s="7" t="s">
        <v>16</v>
      </c>
      <c r="G4" s="1">
        <f>C20-3*C21^2-2*C21</f>
        <v>1.3353704085087854E-2</v>
      </c>
      <c r="I4" s="5" t="s">
        <v>32</v>
      </c>
      <c r="J4" s="1">
        <f>MAX(G19:G21)</f>
        <v>0.98532459831727004</v>
      </c>
      <c r="K4" s="9">
        <f>J4*$C$13*$C$5/$C$6</f>
        <v>2.3168661415671785E-2</v>
      </c>
      <c r="M4" s="48"/>
      <c r="N4" s="48"/>
      <c r="O4" s="48"/>
      <c r="Q4" s="126" t="s">
        <v>49</v>
      </c>
      <c r="R4" s="127"/>
      <c r="S4" s="127"/>
      <c r="T4" s="128"/>
    </row>
    <row r="5" spans="2:20" x14ac:dyDescent="0.25">
      <c r="B5" s="29" t="s">
        <v>3</v>
      </c>
      <c r="C5" s="3">
        <v>100</v>
      </c>
      <c r="D5" s="30" t="s">
        <v>9</v>
      </c>
      <c r="F5" s="7" t="s">
        <v>17</v>
      </c>
      <c r="G5" s="1">
        <f>-C20*C21+C21^2+C21^3</f>
        <v>-1.6523076186617979E-5</v>
      </c>
      <c r="I5" s="5" t="s">
        <v>34</v>
      </c>
      <c r="J5" s="1">
        <f>MEDIAN(G19:G21)</f>
        <v>1.2156087426086259E-2</v>
      </c>
      <c r="K5" s="9">
        <f>J5*$C$13*$C$5/$C$6</f>
        <v>2.8583501740977627E-4</v>
      </c>
      <c r="M5" s="48"/>
      <c r="N5" s="48"/>
      <c r="O5" s="48"/>
      <c r="Q5" s="129" t="s">
        <v>50</v>
      </c>
      <c r="R5" s="130"/>
      <c r="S5" s="130"/>
      <c r="T5" s="131"/>
    </row>
    <row r="6" spans="2:20" x14ac:dyDescent="0.25">
      <c r="B6" s="29" t="s">
        <v>4</v>
      </c>
      <c r="C6" s="87">
        <v>0.35359759000611074</v>
      </c>
      <c r="D6" s="30" t="s">
        <v>51</v>
      </c>
      <c r="F6" s="7"/>
      <c r="G6" s="1"/>
      <c r="I6" s="5" t="s">
        <v>33</v>
      </c>
      <c r="J6" s="1">
        <f>MIN(G19:G21)</f>
        <v>1.3794874873633844E-3</v>
      </c>
      <c r="K6" s="9">
        <f>J6*$C$13*$C$5/$C$6</f>
        <v>3.2436903104277131E-5</v>
      </c>
      <c r="L6" s="6"/>
      <c r="M6" s="48"/>
      <c r="N6" s="49"/>
      <c r="O6" s="48"/>
      <c r="Q6" s="34">
        <v>103.41974627688914</v>
      </c>
      <c r="R6" s="1" t="s">
        <v>51</v>
      </c>
      <c r="S6" s="1">
        <f>Q6*100000</f>
        <v>10341974.627688915</v>
      </c>
      <c r="T6" s="8" t="s">
        <v>10</v>
      </c>
    </row>
    <row r="7" spans="2:20" ht="15.75" thickBot="1" x14ac:dyDescent="0.3">
      <c r="B7" s="31" t="s">
        <v>5</v>
      </c>
      <c r="C7" s="32">
        <v>8.0000000000000002E-3</v>
      </c>
      <c r="D7" s="33"/>
      <c r="F7" s="7" t="s">
        <v>18</v>
      </c>
      <c r="G7" s="1">
        <f>(G3/3)^3-((G3*G4)/6)+(G5/2)</f>
        <v>-3.4695714928308904E-2</v>
      </c>
      <c r="I7" s="1"/>
      <c r="J7" s="4" t="s">
        <v>30</v>
      </c>
      <c r="K7" s="8" t="s">
        <v>31</v>
      </c>
      <c r="L7" s="6"/>
      <c r="M7" s="48"/>
      <c r="N7" s="49"/>
      <c r="O7" s="48"/>
      <c r="Q7" s="34">
        <v>1500</v>
      </c>
      <c r="R7" s="1" t="s">
        <v>81</v>
      </c>
      <c r="S7" s="1">
        <f>Q7/14.504</f>
        <v>103.41974627688914</v>
      </c>
      <c r="T7" s="8" t="s">
        <v>51</v>
      </c>
    </row>
    <row r="8" spans="2:20" x14ac:dyDescent="0.25">
      <c r="F8" s="7" t="s">
        <v>19</v>
      </c>
      <c r="G8" s="1">
        <f>(G4/3)-(G3/3)^2</f>
        <v>-0.10640672593458225</v>
      </c>
      <c r="I8" s="5" t="s">
        <v>35</v>
      </c>
      <c r="J8" s="1" t="e">
        <f>G15</f>
        <v>#NUM!</v>
      </c>
      <c r="K8" s="9" t="e">
        <f>J8*$C$13*$C$5/$C$6</f>
        <v>#NUM!</v>
      </c>
      <c r="M8" s="48"/>
      <c r="N8" s="48"/>
      <c r="O8" s="48"/>
      <c r="Q8" s="129" t="s">
        <v>53</v>
      </c>
      <c r="R8" s="130"/>
      <c r="S8" s="130"/>
      <c r="T8" s="131"/>
    </row>
    <row r="9" spans="2:20" ht="15.75" thickBot="1" x14ac:dyDescent="0.3">
      <c r="F9" s="7"/>
      <c r="G9" s="1"/>
      <c r="K9" s="10"/>
      <c r="M9" s="48"/>
      <c r="N9" s="48"/>
      <c r="O9" s="48"/>
      <c r="Q9" s="27">
        <v>100</v>
      </c>
      <c r="R9" s="12" t="s">
        <v>54</v>
      </c>
      <c r="S9" s="12">
        <f>((Q9-32)*(5/9))+273.15</f>
        <v>310.92777777777775</v>
      </c>
      <c r="T9" s="28" t="s">
        <v>9</v>
      </c>
    </row>
    <row r="10" spans="2:20" ht="15.75" thickBot="1" x14ac:dyDescent="0.3">
      <c r="F10" s="24" t="s">
        <v>20</v>
      </c>
      <c r="G10" s="25">
        <f>G7^2+G8^3</f>
        <v>-9.8595616296413141E-7</v>
      </c>
      <c r="K10" s="10"/>
      <c r="M10" s="48"/>
      <c r="N10" s="48"/>
      <c r="O10" s="48"/>
    </row>
    <row r="11" spans="2:20" x14ac:dyDescent="0.25">
      <c r="F11" s="114" t="s">
        <v>21</v>
      </c>
      <c r="G11" s="115"/>
      <c r="I11" s="104" t="s">
        <v>38</v>
      </c>
      <c r="J11" s="104"/>
      <c r="K11" s="105"/>
      <c r="M11" s="48"/>
      <c r="N11" s="48"/>
      <c r="O11" s="48"/>
      <c r="Q11" s="126" t="s">
        <v>57</v>
      </c>
      <c r="R11" s="127"/>
      <c r="S11" s="127"/>
      <c r="T11" s="128"/>
    </row>
    <row r="12" spans="2:20" ht="15.75" thickBot="1" x14ac:dyDescent="0.3">
      <c r="F12" s="7" t="s">
        <v>22</v>
      </c>
      <c r="G12" s="1" t="e">
        <f>((-G7)+(SQRT(G10)))^(1/3)</f>
        <v>#NUM!</v>
      </c>
      <c r="I12" s="106" t="str">
        <f>IF(G10&lt;0,"Two Phase Regime","Single Phase Regime")</f>
        <v>Two Phase Regime</v>
      </c>
      <c r="J12" s="106"/>
      <c r="K12" s="107"/>
      <c r="M12" s="48"/>
      <c r="N12" s="48"/>
      <c r="O12" s="48"/>
      <c r="Q12" s="50" t="s">
        <v>56</v>
      </c>
      <c r="R12" s="51">
        <f>(Pc/P)*EXP(5.373*(1+w)*(1-(Tc/T)))</f>
        <v>0.96212628680071366</v>
      </c>
      <c r="S12" s="52"/>
      <c r="T12" s="53"/>
    </row>
    <row r="13" spans="2:20" x14ac:dyDescent="0.25">
      <c r="B13" s="55" t="s">
        <v>8</v>
      </c>
      <c r="C13" s="86">
        <v>8.3144000000000002E-5</v>
      </c>
      <c r="D13" s="56" t="s">
        <v>11</v>
      </c>
      <c r="F13" s="7" t="s">
        <v>23</v>
      </c>
      <c r="G13" s="1" t="e">
        <f>((-G7)-(SQRT(G10)))^(1/3)</f>
        <v>#NUM!</v>
      </c>
      <c r="K13" s="10"/>
      <c r="M13" s="48"/>
      <c r="N13" s="48"/>
      <c r="O13" s="48"/>
    </row>
    <row r="14" spans="2:20" x14ac:dyDescent="0.25">
      <c r="B14" s="15" t="s">
        <v>7</v>
      </c>
      <c r="C14" s="37">
        <f>0.37464+1.54226*C7-0.26992*C7^2</f>
        <v>0.38696080511999997</v>
      </c>
      <c r="D14" s="10"/>
      <c r="F14" s="7"/>
      <c r="G14" s="1"/>
      <c r="K14" s="10"/>
      <c r="M14" s="48"/>
      <c r="N14" s="48"/>
      <c r="O14" s="48"/>
    </row>
    <row r="15" spans="2:20" x14ac:dyDescent="0.25">
      <c r="B15" s="15" t="s">
        <v>6</v>
      </c>
      <c r="C15" s="37">
        <f>(1+(C14*(1-SQRT(C5/C3))))^2</f>
        <v>1.2247232331700206</v>
      </c>
      <c r="D15" s="10"/>
      <c r="F15" s="7" t="s">
        <v>24</v>
      </c>
      <c r="G15" s="1" t="e">
        <f>G12+G13-(G3/3)</f>
        <v>#NUM!</v>
      </c>
      <c r="K15" s="10"/>
      <c r="M15" s="48"/>
      <c r="N15" s="48"/>
      <c r="O15" s="48"/>
    </row>
    <row r="16" spans="2:20" x14ac:dyDescent="0.25">
      <c r="B16" s="29" t="s">
        <v>12</v>
      </c>
      <c r="C16" s="3">
        <v>100</v>
      </c>
      <c r="D16" s="30" t="s">
        <v>10</v>
      </c>
      <c r="F16" s="7"/>
      <c r="G16" s="1"/>
      <c r="K16" s="10"/>
      <c r="M16" s="48"/>
      <c r="N16" s="48"/>
      <c r="O16" s="48"/>
    </row>
    <row r="17" spans="2:34" x14ac:dyDescent="0.25">
      <c r="B17" s="15"/>
      <c r="C17" s="37"/>
      <c r="D17" s="10"/>
      <c r="F17" s="114" t="s">
        <v>25</v>
      </c>
      <c r="G17" s="115"/>
      <c r="K17" s="10"/>
    </row>
    <row r="18" spans="2:34" x14ac:dyDescent="0.25">
      <c r="B18" s="15" t="s">
        <v>13</v>
      </c>
      <c r="C18" s="37">
        <f>0.457236*((C13^2*C3^2)/C4)*C15</f>
        <v>3.0571240189124319E-6</v>
      </c>
      <c r="D18" s="10"/>
      <c r="F18" s="7" t="s">
        <v>26</v>
      </c>
      <c r="G18" s="1">
        <f>ACOS(-G7/(SQRT(-G8^3)))</f>
        <v>2.8611092129695814E-2</v>
      </c>
      <c r="K18" s="10"/>
    </row>
    <row r="19" spans="2:34" x14ac:dyDescent="0.25">
      <c r="B19" s="15" t="s">
        <v>14</v>
      </c>
      <c r="C19" s="37">
        <f>0.0778*C3*C13/C4</f>
        <v>2.6801584508364923E-5</v>
      </c>
      <c r="D19" s="10"/>
      <c r="F19" s="7" t="s">
        <v>24</v>
      </c>
      <c r="G19" s="1">
        <f>2*SQRT(-G8)*COS(G18/3)-(G3/3)</f>
        <v>0.98532459831727004</v>
      </c>
      <c r="K19" s="10"/>
    </row>
    <row r="20" spans="2:34" x14ac:dyDescent="0.25">
      <c r="B20" s="15" t="s">
        <v>15</v>
      </c>
      <c r="C20" s="57">
        <f>(C18*C6)/((C5^2)*(C13^2))</f>
        <v>1.5637255238840075E-2</v>
      </c>
      <c r="D20" s="10"/>
      <c r="F20" s="7" t="s">
        <v>27</v>
      </c>
      <c r="G20" s="1">
        <f>2*SQRT(-G8)*COS((G18/3)+(2/3)*PI())-(G3/3)</f>
        <v>1.3794874873633844E-3</v>
      </c>
      <c r="K20" s="10"/>
    </row>
    <row r="21" spans="2:34" ht="15.75" thickBot="1" x14ac:dyDescent="0.3">
      <c r="B21" s="17" t="s">
        <v>16</v>
      </c>
      <c r="C21" s="18">
        <f>(C19*C6)/(C13*C5)</f>
        <v>1.1398267692801585E-3</v>
      </c>
      <c r="D21" s="14"/>
      <c r="F21" s="11" t="s">
        <v>28</v>
      </c>
      <c r="G21" s="12">
        <f>2*SQRT(-G8)*COS((G18/3)+(4/3)*PI())-(G3/3)</f>
        <v>1.2156087426086259E-2</v>
      </c>
      <c r="H21" s="13"/>
      <c r="I21" s="13"/>
      <c r="J21" s="13"/>
      <c r="K21" s="14"/>
    </row>
    <row r="24" spans="2:34" ht="15.75" thickBot="1" x14ac:dyDescent="0.3"/>
    <row r="25" spans="2:34" x14ac:dyDescent="0.25">
      <c r="B25" s="108" t="s">
        <v>48</v>
      </c>
      <c r="C25" s="109"/>
      <c r="D25" s="110"/>
      <c r="F25" s="123" t="s">
        <v>107</v>
      </c>
      <c r="G25" s="124"/>
      <c r="H25" s="124"/>
      <c r="I25" s="124"/>
      <c r="J25" s="124"/>
      <c r="K25" s="124"/>
      <c r="L25" s="124"/>
      <c r="M25" s="124"/>
      <c r="N25" s="125"/>
      <c r="Q25" s="78" t="s">
        <v>83</v>
      </c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</row>
    <row r="26" spans="2:34" x14ac:dyDescent="0.25">
      <c r="B26" s="15" t="s">
        <v>43</v>
      </c>
      <c r="C26">
        <v>6</v>
      </c>
      <c r="D26" s="10"/>
      <c r="F26" s="69" t="s">
        <v>59</v>
      </c>
      <c r="G26" s="39">
        <v>2</v>
      </c>
      <c r="H26" s="39" t="s">
        <v>42</v>
      </c>
      <c r="I26" s="61">
        <v>9.9999999999999995E-7</v>
      </c>
      <c r="J26" s="39" t="s">
        <v>67</v>
      </c>
      <c r="K26" s="39">
        <v>0.35600547150007017</v>
      </c>
      <c r="L26" s="37"/>
      <c r="M26" s="37"/>
      <c r="N26" s="10"/>
      <c r="Q26" s="43" t="s">
        <v>59</v>
      </c>
      <c r="R26" s="39">
        <v>4</v>
      </c>
      <c r="S26" s="39" t="s">
        <v>76</v>
      </c>
      <c r="T26" s="39">
        <v>2</v>
      </c>
      <c r="U26" s="1"/>
      <c r="V26" s="1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</row>
    <row r="27" spans="2:34" x14ac:dyDescent="0.25">
      <c r="B27" s="19" t="s">
        <v>42</v>
      </c>
      <c r="C27" s="16">
        <v>9.9999999999999995E-7</v>
      </c>
      <c r="D27" s="10"/>
      <c r="F27" s="70" t="s">
        <v>60</v>
      </c>
      <c r="G27" s="4">
        <f>MAX(RRTwoFirstEntry:RRTwoLastEntry)</f>
        <v>4.3091999999999997</v>
      </c>
      <c r="H27" s="4" t="s">
        <v>61</v>
      </c>
      <c r="I27" s="4">
        <f>MIN(RRTwoFirstEntry:RRTwoLastEntry)</f>
        <v>1.4E-2</v>
      </c>
      <c r="J27" s="4" t="s">
        <v>64</v>
      </c>
      <c r="K27" s="4">
        <f>SUM(RRTwoFvCopyFirstEntry:RRTwoFvCopyLastEntry)</f>
        <v>1.5090715776988617E-7</v>
      </c>
      <c r="L27" s="37"/>
      <c r="M27" s="37"/>
      <c r="N27" s="10"/>
      <c r="Q27" s="43" t="s">
        <v>82</v>
      </c>
      <c r="R27" s="39">
        <v>310.92777777777775</v>
      </c>
      <c r="S27" s="39" t="s">
        <v>50</v>
      </c>
      <c r="T27" s="39">
        <v>103.419746276889</v>
      </c>
      <c r="U27" s="39" t="s">
        <v>8</v>
      </c>
      <c r="V27" s="61">
        <v>8.3144587999999997E-5</v>
      </c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</row>
    <row r="28" spans="2:34" x14ac:dyDescent="0.25">
      <c r="B28" s="15"/>
      <c r="D28" s="10"/>
      <c r="F28" s="70" t="s">
        <v>71</v>
      </c>
      <c r="G28" s="4">
        <f>1/(1-RRTwoKmax)</f>
        <v>-0.30218783996131998</v>
      </c>
      <c r="H28" s="4" t="s">
        <v>72</v>
      </c>
      <c r="I28" s="4">
        <f>1/(1-RRTwoKmin)</f>
        <v>1.0141987829614605</v>
      </c>
      <c r="J28" s="4" t="s">
        <v>70</v>
      </c>
      <c r="K28" s="4">
        <f>SUM(RRTwoFvPrimeCopyFirstEntry:RRTwoFvPrimeCopyLastEntry)</f>
        <v>2.3083043532465513</v>
      </c>
      <c r="L28" s="37"/>
      <c r="M28" s="37"/>
      <c r="N28" s="10"/>
      <c r="Q28" s="15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</row>
    <row r="29" spans="2:34" x14ac:dyDescent="0.25">
      <c r="B29" s="15" t="s">
        <v>39</v>
      </c>
      <c r="C29">
        <f>(Zmin-1)-LN(Zmin-PRB)-((PRA/(2*SQRT(2)*PRB))*(LN((Zmin+(1+SQRT(2))*PRB)/(Zmin+(1-SQRT(2))*PRB))))</f>
        <v>-1.458562812813291E-2</v>
      </c>
      <c r="D29" s="10"/>
      <c r="F29" s="70" t="s">
        <v>84</v>
      </c>
      <c r="G29" s="4">
        <f>SUM(RRTwoZiFirstEntry:RRTwoZiLastEntry)</f>
        <v>1</v>
      </c>
      <c r="H29" s="4" t="s">
        <v>43</v>
      </c>
      <c r="I29" s="4">
        <v>7</v>
      </c>
      <c r="J29" s="64" t="s">
        <v>75</v>
      </c>
      <c r="K29" s="64">
        <v>0.35600547150007017</v>
      </c>
      <c r="L29" s="37"/>
      <c r="M29" s="37"/>
      <c r="N29" s="10"/>
      <c r="Q29" s="26" t="s">
        <v>84</v>
      </c>
      <c r="R29" s="4">
        <v>1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</row>
    <row r="30" spans="2:34" x14ac:dyDescent="0.25">
      <c r="B30" s="15" t="s">
        <v>40</v>
      </c>
      <c r="C30">
        <f>(Zmax-1)-LN(Zmax-PRB)-((PRA/(2*SQRT(2)*PRB))*(LN((Zmax+(1+SQRT(2))*PRB)/(Zmax+(1-SQRT(2))*PRB))))</f>
        <v>-1.4585610916403924E-2</v>
      </c>
      <c r="D30" s="10"/>
      <c r="F30" s="15"/>
      <c r="G30" s="37"/>
      <c r="H30" s="37"/>
      <c r="I30" s="37"/>
      <c r="J30" s="64" t="s">
        <v>90</v>
      </c>
      <c r="K30" s="64">
        <f>1-RRTwoSolutionBv</f>
        <v>0.64399452849992977</v>
      </c>
      <c r="L30" s="37"/>
      <c r="M30" s="37"/>
      <c r="N30" s="10"/>
      <c r="Q30" s="15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</row>
    <row r="31" spans="2:34" x14ac:dyDescent="0.25">
      <c r="B31" s="15"/>
      <c r="D31" s="10"/>
      <c r="F31" s="58" t="s">
        <v>74</v>
      </c>
      <c r="G31" s="59">
        <v>3</v>
      </c>
      <c r="H31" s="37"/>
      <c r="I31" s="37"/>
      <c r="J31" s="37"/>
      <c r="K31" s="37"/>
      <c r="L31" s="37"/>
      <c r="M31" s="37"/>
      <c r="N31" s="10"/>
      <c r="Q31" s="15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</row>
    <row r="32" spans="2:34" x14ac:dyDescent="0.25">
      <c r="B32" s="15" t="s">
        <v>41</v>
      </c>
      <c r="C32">
        <f>ABS(lnphiL-lnphiV)</f>
        <v>1.7211728986499253E-8</v>
      </c>
      <c r="D32" s="10"/>
      <c r="F32" s="43" t="s">
        <v>65</v>
      </c>
      <c r="G32" s="39" t="s">
        <v>63</v>
      </c>
      <c r="H32" s="39" t="s">
        <v>56</v>
      </c>
      <c r="I32" s="4"/>
      <c r="J32" s="4" t="s">
        <v>68</v>
      </c>
      <c r="K32" s="4"/>
      <c r="L32" s="4" t="s">
        <v>69</v>
      </c>
      <c r="M32" s="64" t="s">
        <v>62</v>
      </c>
      <c r="N32" s="65" t="s">
        <v>73</v>
      </c>
      <c r="Q32" s="43" t="s">
        <v>65</v>
      </c>
      <c r="R32" s="39" t="s">
        <v>63</v>
      </c>
      <c r="S32" s="39" t="s">
        <v>1</v>
      </c>
      <c r="T32" s="39" t="s">
        <v>2</v>
      </c>
      <c r="U32" s="60" t="s">
        <v>87</v>
      </c>
      <c r="V32" s="4" t="s">
        <v>86</v>
      </c>
      <c r="W32" s="4" t="s">
        <v>95</v>
      </c>
      <c r="Z32" s="47" t="s">
        <v>77</v>
      </c>
      <c r="AA32" s="41" t="s">
        <v>78</v>
      </c>
      <c r="AB32" s="41" t="s">
        <v>79</v>
      </c>
      <c r="AC32" s="41" t="s">
        <v>55</v>
      </c>
      <c r="AD32" s="40" t="s">
        <v>80</v>
      </c>
    </row>
    <row r="33" spans="2:34" x14ac:dyDescent="0.25">
      <c r="B33" s="15"/>
      <c r="D33" s="10"/>
      <c r="F33" s="54" t="s">
        <v>96</v>
      </c>
      <c r="G33" s="38">
        <v>0.5</v>
      </c>
      <c r="H33" s="89">
        <v>4.3091999999999997</v>
      </c>
      <c r="I33" s="37">
        <f>(((1 - RRTwoKiCurrent) * RRTwoZiCurrent) / (1 - (1 - RRTwoKiCurrent) * RRTwoBvInitial))</f>
        <v>0.7596552430620227</v>
      </c>
      <c r="J33" s="37">
        <v>-0.75965516760845131</v>
      </c>
      <c r="K33" s="37">
        <f>(((RRTwoKiCurrent-1)^2)*RRTwoZiCurrent)/(((RRTwoKiCurrent-1)*RRTwoBvInitial+1)^2)</f>
        <v>1.1541521766232414</v>
      </c>
      <c r="L33" s="37">
        <v>1.1541519473484485</v>
      </c>
      <c r="M33" s="66">
        <v>0.22955857701620419</v>
      </c>
      <c r="N33" s="67">
        <v>0.989213820078227</v>
      </c>
      <c r="Q33" s="7" t="s">
        <v>78</v>
      </c>
      <c r="R33" s="1">
        <v>0.9</v>
      </c>
      <c r="S33" s="1">
        <v>304.2</v>
      </c>
      <c r="T33" s="62">
        <v>73.760000000000005</v>
      </c>
      <c r="U33" s="1">
        <v>0.22500000000000001</v>
      </c>
      <c r="V33" s="1">
        <v>-0.58232747298106968</v>
      </c>
      <c r="W33" s="1">
        <v>51.992939213121822</v>
      </c>
      <c r="Z33" s="42" t="s">
        <v>78</v>
      </c>
      <c r="AA33" s="37"/>
      <c r="AB33" s="37">
        <v>0.12</v>
      </c>
      <c r="AC33" s="37">
        <v>0.1</v>
      </c>
      <c r="AD33" s="37">
        <v>0.11409999999999999</v>
      </c>
      <c r="AE33" s="37"/>
      <c r="AF33" s="37"/>
      <c r="AG33" s="37"/>
      <c r="AH33" s="37"/>
    </row>
    <row r="34" spans="2:34" x14ac:dyDescent="0.25">
      <c r="B34" s="20" t="s">
        <v>44</v>
      </c>
      <c r="C34" s="88">
        <f>P</f>
        <v>0.35359759000611074</v>
      </c>
      <c r="D34" s="21" t="s">
        <v>51</v>
      </c>
      <c r="F34" s="54" t="s">
        <v>97</v>
      </c>
      <c r="G34" s="38">
        <v>0.5</v>
      </c>
      <c r="H34" s="16">
        <v>1.4E-2</v>
      </c>
      <c r="I34" s="37">
        <f>(((1 - RRTwoKiCurrent) * RRTwoZiCurrent) / (1 - (1 - RRTwoKiCurrent) * RRTwoBvInitial))</f>
        <v>0.7596552430620227</v>
      </c>
      <c r="J34" s="37">
        <v>0.75965531851560908</v>
      </c>
      <c r="K34" s="37">
        <f>(((RRTwoKiCurrent-1)^2)*RRTwoZiCurrent)/(((RRTwoKiCurrent-1)*RRTwoBvInitial+1)^2)</f>
        <v>1.1541521766232414</v>
      </c>
      <c r="L34" s="37">
        <v>1.1541524058981028</v>
      </c>
      <c r="M34" s="66">
        <v>0.77044142298379581</v>
      </c>
      <c r="N34" s="67">
        <v>1.0786179921773142E-2</v>
      </c>
      <c r="Q34" s="7" t="s">
        <v>79</v>
      </c>
      <c r="R34" s="1">
        <v>0.05</v>
      </c>
      <c r="S34" s="1">
        <v>425.12</v>
      </c>
      <c r="T34" s="62">
        <v>37.96</v>
      </c>
      <c r="U34" s="1">
        <v>0.2014</v>
      </c>
      <c r="V34" s="1">
        <v>-2.4193087655600509</v>
      </c>
      <c r="W34" s="1">
        <v>0.46013050395920807</v>
      </c>
      <c r="Z34" s="42" t="s">
        <v>79</v>
      </c>
      <c r="AA34" s="37">
        <v>0.12</v>
      </c>
      <c r="AB34" s="37"/>
      <c r="AC34" s="37"/>
      <c r="AD34" s="37"/>
      <c r="AE34" s="37"/>
      <c r="AF34" s="37"/>
      <c r="AG34" s="37"/>
      <c r="AH34" s="37"/>
    </row>
    <row r="35" spans="2:34" x14ac:dyDescent="0.25">
      <c r="B35" s="20" t="s">
        <v>45</v>
      </c>
      <c r="C35" s="35">
        <f>Vmax</f>
        <v>2.3168661415671785E-2</v>
      </c>
      <c r="D35" s="21" t="s">
        <v>47</v>
      </c>
      <c r="F35" s="54"/>
      <c r="G35" s="38"/>
      <c r="H35" s="38"/>
      <c r="I35" s="37"/>
      <c r="J35" s="37"/>
      <c r="K35" s="37"/>
      <c r="L35" s="37"/>
      <c r="M35" s="66"/>
      <c r="N35" s="67"/>
      <c r="Q35" s="7" t="s">
        <v>55</v>
      </c>
      <c r="R35" s="1">
        <v>0.03</v>
      </c>
      <c r="S35" s="1">
        <v>540.20000000000005</v>
      </c>
      <c r="T35" s="62">
        <v>27.4</v>
      </c>
      <c r="U35" s="1">
        <v>0.35049999999999998</v>
      </c>
      <c r="V35" s="1">
        <v>-5.1611860748840543</v>
      </c>
      <c r="W35" s="1">
        <v>1.7793037345609459E-2</v>
      </c>
      <c r="Z35" s="42" t="s">
        <v>55</v>
      </c>
      <c r="AA35" s="37">
        <v>0.1</v>
      </c>
      <c r="AB35" s="37"/>
      <c r="AC35" s="37"/>
      <c r="AD35" s="37"/>
      <c r="AE35" s="37"/>
      <c r="AF35" s="37"/>
      <c r="AG35" s="37"/>
      <c r="AH35" s="37"/>
    </row>
    <row r="36" spans="2:34" ht="15.75" thickBot="1" x14ac:dyDescent="0.3">
      <c r="B36" s="22" t="s">
        <v>46</v>
      </c>
      <c r="C36" s="36">
        <f>Vmin</f>
        <v>3.2436903104277131E-5</v>
      </c>
      <c r="D36" s="23" t="s">
        <v>47</v>
      </c>
      <c r="F36" s="15"/>
      <c r="G36" s="37"/>
      <c r="H36" s="37"/>
      <c r="I36" s="37"/>
      <c r="J36" s="37"/>
      <c r="K36" s="37"/>
      <c r="L36" s="37"/>
      <c r="M36" s="66"/>
      <c r="N36" s="67"/>
      <c r="Q36" s="7" t="s">
        <v>80</v>
      </c>
      <c r="R36" s="1">
        <v>0.02</v>
      </c>
      <c r="S36" s="1">
        <v>617.70000000000005</v>
      </c>
      <c r="T36" s="62">
        <v>21.1</v>
      </c>
      <c r="U36" s="1">
        <v>0.48980000000000001</v>
      </c>
      <c r="V36" s="1">
        <v>-7.4477644417127928</v>
      </c>
      <c r="W36" s="1">
        <v>1.2053424837972452E-3</v>
      </c>
      <c r="Z36" s="40" t="s">
        <v>80</v>
      </c>
      <c r="AA36" s="37">
        <v>0.11409999999999999</v>
      </c>
      <c r="AB36" s="37"/>
      <c r="AC36" s="37"/>
      <c r="AD36" s="37"/>
      <c r="AE36" s="37"/>
      <c r="AF36" s="37"/>
      <c r="AG36" s="37"/>
      <c r="AH36" s="37"/>
    </row>
    <row r="37" spans="2:34" x14ac:dyDescent="0.25">
      <c r="F37" s="15"/>
      <c r="G37" s="37"/>
      <c r="H37" s="38"/>
      <c r="I37" s="37"/>
      <c r="J37" s="37"/>
      <c r="K37" s="37"/>
      <c r="L37" s="37"/>
      <c r="M37" s="66"/>
      <c r="N37" s="67"/>
      <c r="Q37" s="15"/>
      <c r="AB37" s="37"/>
      <c r="AC37" s="37"/>
      <c r="AD37" s="37"/>
      <c r="AE37" s="37"/>
      <c r="AF37" s="37"/>
      <c r="AG37" s="37"/>
      <c r="AH37" s="37"/>
    </row>
    <row r="38" spans="2:34" x14ac:dyDescent="0.25">
      <c r="H38" s="38"/>
      <c r="Q38" s="15"/>
      <c r="Z38" s="37"/>
      <c r="AB38" s="37"/>
      <c r="AC38" s="37"/>
      <c r="AD38" s="37"/>
      <c r="AE38" s="37"/>
      <c r="AF38" s="37"/>
      <c r="AG38" s="37"/>
      <c r="AH38" s="37"/>
    </row>
    <row r="39" spans="2:34" ht="15.75" thickBot="1" x14ac:dyDescent="0.3">
      <c r="H39" s="38"/>
      <c r="Q39" s="15"/>
      <c r="Z39" s="37"/>
      <c r="AC39" s="37"/>
      <c r="AD39" s="37"/>
      <c r="AE39" s="37"/>
      <c r="AF39" s="37"/>
      <c r="AG39" s="37"/>
      <c r="AH39" s="37"/>
    </row>
    <row r="40" spans="2:34" x14ac:dyDescent="0.25">
      <c r="B40" s="108" t="s">
        <v>91</v>
      </c>
      <c r="C40" s="109"/>
      <c r="D40" s="110"/>
      <c r="Q40" s="15"/>
      <c r="Z40" s="37"/>
      <c r="AB40" s="37"/>
      <c r="AC40" s="37"/>
      <c r="AD40" s="37"/>
      <c r="AE40" s="37"/>
      <c r="AF40" s="37"/>
      <c r="AG40" s="37"/>
      <c r="AH40" s="37"/>
    </row>
    <row r="41" spans="2:34" x14ac:dyDescent="0.25">
      <c r="B41" s="34" t="s">
        <v>59</v>
      </c>
      <c r="C41" s="39">
        <v>3</v>
      </c>
      <c r="D41" s="10"/>
      <c r="N41" s="63" t="s">
        <v>88</v>
      </c>
      <c r="O41" s="63" t="s">
        <v>89</v>
      </c>
      <c r="Q41" s="15"/>
      <c r="Z41" s="37"/>
      <c r="AB41" s="37"/>
      <c r="AC41" s="37"/>
      <c r="AD41" s="37"/>
      <c r="AE41" s="37"/>
      <c r="AF41" s="37"/>
      <c r="AG41" s="37"/>
      <c r="AH41" s="37"/>
    </row>
    <row r="42" spans="2:34" x14ac:dyDescent="0.25">
      <c r="B42" s="15"/>
      <c r="C42" s="37"/>
      <c r="D42" s="10"/>
      <c r="Q42" s="44"/>
      <c r="R42" s="45"/>
      <c r="S42" s="45"/>
      <c r="T42" s="46"/>
      <c r="U42" s="46"/>
      <c r="V42" s="45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</row>
    <row r="43" spans="2:34" x14ac:dyDescent="0.25">
      <c r="B43" s="72" t="s">
        <v>92</v>
      </c>
      <c r="C43" s="76">
        <v>263.73796389480003</v>
      </c>
      <c r="D43" s="10"/>
      <c r="N43">
        <v>-0.28902397373209215</v>
      </c>
      <c r="O43">
        <v>-37.59909788892832</v>
      </c>
      <c r="Q43" s="44"/>
      <c r="R43" s="45"/>
      <c r="S43" s="45"/>
      <c r="T43" s="46"/>
      <c r="U43" s="46"/>
      <c r="V43" s="45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</row>
    <row r="44" spans="2:34" x14ac:dyDescent="0.25">
      <c r="B44" s="72" t="s">
        <v>93</v>
      </c>
      <c r="C44" s="73"/>
      <c r="D44" s="10"/>
      <c r="N44">
        <v>-0.27586010750286433</v>
      </c>
      <c r="O44">
        <v>-18.60380187090664</v>
      </c>
      <c r="Q44" s="15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</row>
    <row r="45" spans="2:34" x14ac:dyDescent="0.25">
      <c r="B45" s="15"/>
      <c r="C45" s="37"/>
      <c r="D45" s="10"/>
      <c r="N45">
        <v>-0.2626962412736365</v>
      </c>
      <c r="O45">
        <v>-12.269345850142608</v>
      </c>
      <c r="Q45" s="15"/>
      <c r="R45" s="37"/>
      <c r="S45" s="37"/>
      <c r="T45" s="37"/>
      <c r="U45" s="37"/>
      <c r="V45" s="37"/>
      <c r="W45" s="37"/>
      <c r="X45" s="37"/>
      <c r="Y45" s="37"/>
      <c r="AA45" s="37"/>
      <c r="AB45" s="37"/>
      <c r="AC45" s="37"/>
      <c r="AD45" s="37"/>
      <c r="AE45" s="37"/>
      <c r="AF45" s="37"/>
      <c r="AG45" s="37"/>
      <c r="AH45" s="37"/>
    </row>
    <row r="46" spans="2:34" x14ac:dyDescent="0.25">
      <c r="B46" s="26" t="s">
        <v>84</v>
      </c>
      <c r="C46" s="4">
        <v>1</v>
      </c>
      <c r="D46" s="10"/>
      <c r="N46">
        <v>-0.2495323750444087</v>
      </c>
      <c r="O46">
        <v>-9.1000367658471326</v>
      </c>
      <c r="Q46" s="15"/>
      <c r="R46" s="37"/>
      <c r="S46" s="37"/>
      <c r="T46" s="37"/>
      <c r="U46" s="37"/>
      <c r="V46" s="37"/>
      <c r="W46" s="37"/>
      <c r="X46" s="37"/>
      <c r="Y46" s="37"/>
      <c r="AA46" s="37"/>
      <c r="AB46" s="37"/>
      <c r="AC46" s="37"/>
      <c r="AD46" s="37"/>
      <c r="AE46" s="37"/>
      <c r="AF46" s="37"/>
      <c r="AG46" s="37"/>
      <c r="AH46" s="37"/>
    </row>
    <row r="47" spans="2:34" x14ac:dyDescent="0.25">
      <c r="B47" s="15"/>
      <c r="C47" s="37"/>
      <c r="D47" s="10"/>
      <c r="N47">
        <v>-0.2363685088151809</v>
      </c>
      <c r="O47">
        <v>-7.1967338816402062</v>
      </c>
      <c r="Q47" s="15"/>
      <c r="R47" s="37"/>
      <c r="S47" s="37"/>
      <c r="T47" s="37"/>
      <c r="U47" s="37"/>
      <c r="V47" s="37"/>
      <c r="W47" s="37"/>
      <c r="X47" s="37"/>
      <c r="Y47" s="37"/>
      <c r="AA47" s="37"/>
      <c r="AB47" s="37"/>
      <c r="AC47" s="37"/>
      <c r="AD47" s="37"/>
      <c r="AE47" s="37"/>
      <c r="AF47" s="37"/>
      <c r="AG47" s="37"/>
      <c r="AH47" s="37"/>
    </row>
    <row r="48" spans="2:34" x14ac:dyDescent="0.25">
      <c r="B48" s="43" t="s">
        <v>65</v>
      </c>
      <c r="C48" s="39" t="s">
        <v>63</v>
      </c>
      <c r="D48" s="68" t="s">
        <v>44</v>
      </c>
      <c r="N48">
        <v>-0.2232046425859531</v>
      </c>
      <c r="O48">
        <v>-5.9263884210512359</v>
      </c>
      <c r="Q48" s="15"/>
      <c r="R48" s="37"/>
      <c r="S48" s="37"/>
      <c r="T48" s="37"/>
      <c r="U48" s="37"/>
      <c r="V48" s="37"/>
      <c r="W48" s="37"/>
      <c r="X48" s="37"/>
      <c r="Y48" s="37"/>
      <c r="AA48" s="37"/>
      <c r="AB48" s="37"/>
      <c r="AC48" s="37"/>
      <c r="AD48" s="37"/>
      <c r="AE48" s="37"/>
      <c r="AF48" s="37"/>
      <c r="AG48" s="37"/>
      <c r="AH48" s="37"/>
    </row>
    <row r="49" spans="2:15" x14ac:dyDescent="0.25">
      <c r="B49" s="54" t="s">
        <v>58</v>
      </c>
      <c r="C49" s="38">
        <v>0.65</v>
      </c>
      <c r="D49" s="74">
        <v>385.80038237000002</v>
      </c>
      <c r="N49">
        <v>-0.2100407763567253</v>
      </c>
      <c r="O49">
        <v>-5.0176920816692707</v>
      </c>
    </row>
    <row r="50" spans="2:15" x14ac:dyDescent="0.25">
      <c r="B50" s="54" t="s">
        <v>66</v>
      </c>
      <c r="C50" s="38">
        <v>0.3</v>
      </c>
      <c r="D50" s="74">
        <v>42.205981680999997</v>
      </c>
      <c r="N50">
        <v>-0.1968769101274975</v>
      </c>
      <c r="O50">
        <v>-4.3349891587778444</v>
      </c>
    </row>
    <row r="51" spans="2:15" x14ac:dyDescent="0.25">
      <c r="B51" s="54" t="s">
        <v>55</v>
      </c>
      <c r="C51" s="38">
        <v>0.05</v>
      </c>
      <c r="D51" s="74">
        <v>6.118417</v>
      </c>
      <c r="N51">
        <v>-0.1837130438982697</v>
      </c>
      <c r="O51">
        <v>-3.8029139152067053</v>
      </c>
    </row>
    <row r="52" spans="2:15" x14ac:dyDescent="0.25">
      <c r="B52" s="54"/>
      <c r="C52" s="38"/>
      <c r="D52" s="71"/>
      <c r="N52">
        <v>-0.1705491776690419</v>
      </c>
      <c r="O52">
        <v>-3.3762455247200993</v>
      </c>
    </row>
    <row r="53" spans="2:15" x14ac:dyDescent="0.25">
      <c r="B53" s="54"/>
      <c r="C53" s="38">
        <f>C49/D49</f>
        <v>1.6848091129588892E-3</v>
      </c>
      <c r="D53" s="71"/>
      <c r="N53">
        <v>-0.1573853114398141</v>
      </c>
      <c r="O53">
        <v>-3.026205769092837</v>
      </c>
    </row>
    <row r="54" spans="2:15" x14ac:dyDescent="0.25">
      <c r="B54" s="54"/>
      <c r="C54" s="38">
        <f>C50/D50</f>
        <v>7.1079972091977655E-3</v>
      </c>
      <c r="D54" s="71"/>
      <c r="N54">
        <v>-0.1442214452105863</v>
      </c>
      <c r="O54">
        <v>-2.7336078822307628</v>
      </c>
    </row>
    <row r="55" spans="2:15" x14ac:dyDescent="0.25">
      <c r="B55" s="54"/>
      <c r="C55" s="38">
        <f>C51/D51</f>
        <v>8.1720484236363754E-3</v>
      </c>
      <c r="D55" s="71"/>
      <c r="N55">
        <v>-0.1310575789813585</v>
      </c>
      <c r="O55">
        <v>-2.4851674618297817</v>
      </c>
    </row>
    <row r="56" spans="2:15" x14ac:dyDescent="0.25">
      <c r="B56" s="54"/>
      <c r="C56" s="75">
        <f>SUM(C53:C55)</f>
        <v>1.6964854745793029E-2</v>
      </c>
      <c r="D56" s="71"/>
      <c r="N56">
        <v>-0.1178937127521307</v>
      </c>
      <c r="O56">
        <v>-2.271394414471164</v>
      </c>
    </row>
    <row r="57" spans="2:15" x14ac:dyDescent="0.25">
      <c r="B57" s="77" t="s">
        <v>94</v>
      </c>
      <c r="C57" s="75">
        <f>1/C56</f>
        <v>58.945391221105595</v>
      </c>
      <c r="D57" s="71"/>
      <c r="N57">
        <v>-0.1047298465229029</v>
      </c>
      <c r="O57">
        <v>-2.0853281182094738</v>
      </c>
    </row>
    <row r="58" spans="2:15" x14ac:dyDescent="0.25">
      <c r="N58">
        <v>-9.1565980293675103E-2</v>
      </c>
      <c r="O58">
        <v>-1.9217468946509504</v>
      </c>
    </row>
    <row r="59" spans="2:15" x14ac:dyDescent="0.25">
      <c r="N59">
        <v>-7.8402114064447304E-2</v>
      </c>
      <c r="O59">
        <v>-1.7766564862541987</v>
      </c>
    </row>
    <row r="60" spans="2:15" x14ac:dyDescent="0.25">
      <c r="N60">
        <v>-6.5238247835219504E-2</v>
      </c>
      <c r="O60">
        <v>-1.64694903644883</v>
      </c>
    </row>
    <row r="61" spans="2:15" x14ac:dyDescent="0.25">
      <c r="N61">
        <v>-5.2074381605991697E-2</v>
      </c>
      <c r="O61">
        <v>-1.5301697553556013</v>
      </c>
    </row>
    <row r="62" spans="2:15" x14ac:dyDescent="0.25">
      <c r="N62">
        <v>-3.8910515376763891E-2</v>
      </c>
      <c r="O62">
        <v>-1.4243535807412928</v>
      </c>
    </row>
    <row r="63" spans="2:15" x14ac:dyDescent="0.25">
      <c r="N63">
        <v>-2.5746649147536084E-2</v>
      </c>
      <c r="O63">
        <v>-1.3279085020372909</v>
      </c>
    </row>
    <row r="64" spans="2:15" x14ac:dyDescent="0.25">
      <c r="N64">
        <v>-1.2582782918308279E-2</v>
      </c>
      <c r="O64">
        <v>-1.239530699635002</v>
      </c>
    </row>
    <row r="65" spans="14:15" x14ac:dyDescent="0.25">
      <c r="N65">
        <v>5.8108331091952584E-4</v>
      </c>
      <c r="O65">
        <v>-1.1581418160742298</v>
      </c>
    </row>
    <row r="66" spans="14:15" x14ac:dyDescent="0.25">
      <c r="N66">
        <v>1.3744949540147331E-2</v>
      </c>
      <c r="O66">
        <v>-1.0828419034875323</v>
      </c>
    </row>
    <row r="67" spans="14:15" x14ac:dyDescent="0.25">
      <c r="N67">
        <v>2.6908815769375136E-2</v>
      </c>
      <c r="O67">
        <v>-1.0128736574160304</v>
      </c>
    </row>
    <row r="68" spans="14:15" x14ac:dyDescent="0.25">
      <c r="N68">
        <v>4.0072681998602942E-2</v>
      </c>
      <c r="O68">
        <v>-0.94759489779046502</v>
      </c>
    </row>
    <row r="69" spans="14:15" x14ac:dyDescent="0.25">
      <c r="N69">
        <v>5.3236548227830749E-2</v>
      </c>
      <c r="O69">
        <v>-0.8864571583169214</v>
      </c>
    </row>
    <row r="70" spans="14:15" x14ac:dyDescent="0.25">
      <c r="N70">
        <v>6.6400414457058549E-2</v>
      </c>
      <c r="O70">
        <v>-0.82898885651609622</v>
      </c>
    </row>
    <row r="71" spans="14:15" x14ac:dyDescent="0.25">
      <c r="N71">
        <v>7.9564280686286348E-2</v>
      </c>
      <c r="O71">
        <v>-0.77478193804285944</v>
      </c>
    </row>
    <row r="72" spans="14:15" x14ac:dyDescent="0.25">
      <c r="N72">
        <v>9.2728146915514148E-2</v>
      </c>
      <c r="O72">
        <v>-0.72348118386859317</v>
      </c>
    </row>
    <row r="73" spans="14:15" x14ac:dyDescent="0.25">
      <c r="N73">
        <v>0.10589201314474195</v>
      </c>
      <c r="O73">
        <v>-0.67477557822246048</v>
      </c>
    </row>
    <row r="74" spans="14:15" x14ac:dyDescent="0.25">
      <c r="N74">
        <v>0.11905587937396975</v>
      </c>
      <c r="O74">
        <v>-0.62839128562115876</v>
      </c>
    </row>
    <row r="75" spans="14:15" x14ac:dyDescent="0.25">
      <c r="N75">
        <v>0.13221974560319755</v>
      </c>
      <c r="O75">
        <v>-0.58408589471073658</v>
      </c>
    </row>
    <row r="76" spans="14:15" x14ac:dyDescent="0.25">
      <c r="N76">
        <v>0.14538361183242535</v>
      </c>
      <c r="O76">
        <v>-0.54164366706739597</v>
      </c>
    </row>
    <row r="77" spans="14:15" x14ac:dyDescent="0.25">
      <c r="N77">
        <v>0.15854747806165315</v>
      </c>
      <c r="O77">
        <v>-0.50087158883210281</v>
      </c>
    </row>
    <row r="78" spans="14:15" x14ac:dyDescent="0.25">
      <c r="N78">
        <v>0.17171134429088095</v>
      </c>
      <c r="O78">
        <v>-0.46159606783282636</v>
      </c>
    </row>
    <row r="79" spans="14:15" x14ac:dyDescent="0.25">
      <c r="N79">
        <v>0.18487521052010875</v>
      </c>
      <c r="O79">
        <v>-0.42366015271584279</v>
      </c>
    </row>
    <row r="80" spans="14:15" x14ac:dyDescent="0.25">
      <c r="N80">
        <v>0.19803907674933655</v>
      </c>
      <c r="O80">
        <v>-0.38692117643226975</v>
      </c>
    </row>
    <row r="81" spans="14:15" x14ac:dyDescent="0.25">
      <c r="N81">
        <v>0.21120294297856435</v>
      </c>
      <c r="O81">
        <v>-0.35124874626659319</v>
      </c>
    </row>
    <row r="82" spans="14:15" x14ac:dyDescent="0.25">
      <c r="N82">
        <v>0.22436680920779214</v>
      </c>
      <c r="O82">
        <v>-0.3165230179425097</v>
      </c>
    </row>
    <row r="83" spans="14:15" x14ac:dyDescent="0.25">
      <c r="N83">
        <v>0.23753067543701994</v>
      </c>
      <c r="O83">
        <v>-0.2826332032888883</v>
      </c>
    </row>
    <row r="84" spans="14:15" x14ac:dyDescent="0.25">
      <c r="N84">
        <v>0.25069454166624777</v>
      </c>
      <c r="O84">
        <v>-0.24947627029951491</v>
      </c>
    </row>
    <row r="85" spans="14:15" x14ac:dyDescent="0.25">
      <c r="N85">
        <v>0.2638584078954756</v>
      </c>
      <c r="O85">
        <v>-0.21695580177209961</v>
      </c>
    </row>
    <row r="86" spans="14:15" x14ac:dyDescent="0.25">
      <c r="N86">
        <v>0.27702227412470343</v>
      </c>
      <c r="O86">
        <v>-0.18498098451185607</v>
      </c>
    </row>
    <row r="87" spans="14:15" x14ac:dyDescent="0.25">
      <c r="N87">
        <v>0.29018614035393125</v>
      </c>
      <c r="O87">
        <v>-0.15346570566909545</v>
      </c>
    </row>
    <row r="88" spans="14:15" x14ac:dyDescent="0.25">
      <c r="N88">
        <v>0.30335000658315908</v>
      </c>
      <c r="O88">
        <v>-0.12232773640290207</v>
      </c>
    </row>
    <row r="89" spans="14:15" x14ac:dyDescent="0.25">
      <c r="N89">
        <v>0.31651387281238691</v>
      </c>
      <c r="O89">
        <v>-9.1487985916742787E-2</v>
      </c>
    </row>
    <row r="90" spans="14:15" x14ac:dyDescent="0.25">
      <c r="N90">
        <v>0.32967773904161474</v>
      </c>
      <c r="O90">
        <v>-6.0869811142790109E-2</v>
      </c>
    </row>
    <row r="91" spans="14:15" x14ac:dyDescent="0.25">
      <c r="N91">
        <v>0.34284160527084256</v>
      </c>
      <c r="O91">
        <v>-3.0398369070108733E-2</v>
      </c>
    </row>
    <row r="92" spans="14:15" x14ac:dyDescent="0.25">
      <c r="N92">
        <v>0.35600547150007039</v>
      </c>
      <c r="O92">
        <v>3.3306690738754696E-16</v>
      </c>
    </row>
    <row r="93" spans="14:15" x14ac:dyDescent="0.25">
      <c r="N93">
        <v>0.36916933772929822</v>
      </c>
      <c r="O93">
        <v>3.0398369070109288E-2</v>
      </c>
    </row>
    <row r="94" spans="14:15" x14ac:dyDescent="0.25">
      <c r="N94">
        <v>0.38233320395852605</v>
      </c>
      <c r="O94">
        <v>6.0869811142790886E-2</v>
      </c>
    </row>
    <row r="95" spans="14:15" x14ac:dyDescent="0.25">
      <c r="N95">
        <v>0.39549707018775387</v>
      </c>
      <c r="O95">
        <v>9.1487985916743675E-2</v>
      </c>
    </row>
    <row r="96" spans="14:15" x14ac:dyDescent="0.25">
      <c r="N96">
        <v>0.4086609364169817</v>
      </c>
      <c r="O96">
        <v>0.12232773640290273</v>
      </c>
    </row>
    <row r="97" spans="14:15" x14ac:dyDescent="0.25">
      <c r="N97">
        <v>0.42182480264620953</v>
      </c>
      <c r="O97">
        <v>0.15346570566909612</v>
      </c>
    </row>
    <row r="98" spans="14:15" x14ac:dyDescent="0.25">
      <c r="N98">
        <v>0.43498866887543736</v>
      </c>
      <c r="O98">
        <v>0.18498098451185685</v>
      </c>
    </row>
    <row r="99" spans="14:15" x14ac:dyDescent="0.25">
      <c r="N99">
        <v>0.44815253510466518</v>
      </c>
      <c r="O99">
        <v>0.21695580177210028</v>
      </c>
    </row>
    <row r="100" spans="14:15" x14ac:dyDescent="0.25">
      <c r="N100">
        <v>0.46131640133389301</v>
      </c>
      <c r="O100">
        <v>0.2494762702995158</v>
      </c>
    </row>
    <row r="101" spans="14:15" x14ac:dyDescent="0.25">
      <c r="N101">
        <v>0.47448026756312084</v>
      </c>
      <c r="O101">
        <v>0.28263320328888908</v>
      </c>
    </row>
    <row r="102" spans="14:15" x14ac:dyDescent="0.25">
      <c r="N102">
        <v>0.48764413379234867</v>
      </c>
      <c r="O102">
        <v>0.31652301794251059</v>
      </c>
    </row>
    <row r="103" spans="14:15" x14ac:dyDescent="0.25">
      <c r="N103">
        <v>0.50080800002157644</v>
      </c>
      <c r="O103">
        <v>0.35124874626659386</v>
      </c>
    </row>
    <row r="104" spans="14:15" x14ac:dyDescent="0.25">
      <c r="N104">
        <v>0.51397186625080427</v>
      </c>
      <c r="O104">
        <v>0.38692117643227064</v>
      </c>
    </row>
    <row r="105" spans="14:15" x14ac:dyDescent="0.25">
      <c r="N105">
        <v>0.52713573248003209</v>
      </c>
      <c r="O105">
        <v>0.4236601527158439</v>
      </c>
    </row>
    <row r="106" spans="14:15" x14ac:dyDescent="0.25">
      <c r="N106">
        <v>0.54029959870925992</v>
      </c>
      <c r="O106">
        <v>0.46159606783282758</v>
      </c>
    </row>
    <row r="107" spans="14:15" x14ac:dyDescent="0.25">
      <c r="N107">
        <v>0.55346346493848775</v>
      </c>
      <c r="O107">
        <v>0.50087158883210448</v>
      </c>
    </row>
    <row r="108" spans="14:15" x14ac:dyDescent="0.25">
      <c r="N108">
        <v>0.56662733116771558</v>
      </c>
      <c r="O108">
        <v>0.54164366706739742</v>
      </c>
    </row>
    <row r="109" spans="14:15" x14ac:dyDescent="0.25">
      <c r="N109">
        <v>0.5797911973969434</v>
      </c>
      <c r="O109">
        <v>0.58408589471073824</v>
      </c>
    </row>
    <row r="110" spans="14:15" x14ac:dyDescent="0.25">
      <c r="N110">
        <v>0.59295506362617123</v>
      </c>
      <c r="O110">
        <v>0.62839128562116009</v>
      </c>
    </row>
    <row r="111" spans="14:15" x14ac:dyDescent="0.25">
      <c r="N111">
        <v>0.60611892985539906</v>
      </c>
      <c r="O111">
        <v>0.67477557822246259</v>
      </c>
    </row>
    <row r="112" spans="14:15" x14ac:dyDescent="0.25">
      <c r="N112">
        <v>0.61928279608462689</v>
      </c>
      <c r="O112">
        <v>0.72348118386859528</v>
      </c>
    </row>
    <row r="113" spans="14:15" x14ac:dyDescent="0.25">
      <c r="N113">
        <v>0.63244666231385471</v>
      </c>
      <c r="O113">
        <v>0.77478193804286188</v>
      </c>
    </row>
    <row r="114" spans="14:15" x14ac:dyDescent="0.25">
      <c r="N114">
        <v>0.64561052854308254</v>
      </c>
      <c r="O114">
        <v>0.82898885651609855</v>
      </c>
    </row>
    <row r="115" spans="14:15" x14ac:dyDescent="0.25">
      <c r="N115">
        <v>0.65877439477231037</v>
      </c>
      <c r="O115">
        <v>0.88645715831692395</v>
      </c>
    </row>
    <row r="116" spans="14:15" x14ac:dyDescent="0.25">
      <c r="N116">
        <v>0.6719382610015382</v>
      </c>
      <c r="O116">
        <v>0.94759489779046824</v>
      </c>
    </row>
    <row r="117" spans="14:15" x14ac:dyDescent="0.25">
      <c r="N117">
        <v>0.68510212723076602</v>
      </c>
      <c r="O117">
        <v>1.0128736574160337</v>
      </c>
    </row>
    <row r="118" spans="14:15" x14ac:dyDescent="0.25">
      <c r="N118">
        <v>0.69826599345999385</v>
      </c>
      <c r="O118">
        <v>1.0828419034875361</v>
      </c>
    </row>
    <row r="119" spans="14:15" x14ac:dyDescent="0.25">
      <c r="N119">
        <v>0.71142985968922168</v>
      </c>
      <c r="O119">
        <v>1.1581418160742341</v>
      </c>
    </row>
    <row r="120" spans="14:15" x14ac:dyDescent="0.25">
      <c r="N120">
        <v>0.7245937259184495</v>
      </c>
      <c r="O120">
        <v>1.2395306996350071</v>
      </c>
    </row>
    <row r="121" spans="14:15" x14ac:dyDescent="0.25">
      <c r="N121">
        <v>0.73775759214767733</v>
      </c>
      <c r="O121">
        <v>1.3279085020372965</v>
      </c>
    </row>
    <row r="122" spans="14:15" x14ac:dyDescent="0.25">
      <c r="N122">
        <v>0.75092145837690516</v>
      </c>
      <c r="O122">
        <v>1.4243535807412984</v>
      </c>
    </row>
    <row r="123" spans="14:15" x14ac:dyDescent="0.25">
      <c r="N123">
        <v>0.76408532460613299</v>
      </c>
      <c r="O123">
        <v>1.5301697553556077</v>
      </c>
    </row>
    <row r="124" spans="14:15" x14ac:dyDescent="0.25">
      <c r="N124">
        <v>0.77724919083536081</v>
      </c>
      <c r="O124">
        <v>1.6469490364488377</v>
      </c>
    </row>
    <row r="125" spans="14:15" x14ac:dyDescent="0.25">
      <c r="N125">
        <v>0.79041305706458864</v>
      </c>
      <c r="O125">
        <v>1.776656486254208</v>
      </c>
    </row>
    <row r="126" spans="14:15" x14ac:dyDescent="0.25">
      <c r="N126">
        <v>0.80357692329381647</v>
      </c>
      <c r="O126">
        <v>1.9217468946509604</v>
      </c>
    </row>
    <row r="127" spans="14:15" x14ac:dyDescent="0.25">
      <c r="N127">
        <v>0.8167407895230443</v>
      </c>
      <c r="O127">
        <v>2.0853281182094854</v>
      </c>
    </row>
    <row r="128" spans="14:15" x14ac:dyDescent="0.25">
      <c r="N128">
        <v>0.82990465575227212</v>
      </c>
      <c r="O128">
        <v>2.2713944144711791</v>
      </c>
    </row>
    <row r="129" spans="14:15" x14ac:dyDescent="0.25">
      <c r="N129">
        <v>0.84306852198149995</v>
      </c>
      <c r="O129">
        <v>2.485167461829799</v>
      </c>
    </row>
    <row r="130" spans="14:15" x14ac:dyDescent="0.25">
      <c r="N130">
        <v>0.85623238821072778</v>
      </c>
      <c r="O130">
        <v>2.7336078822307828</v>
      </c>
    </row>
    <row r="131" spans="14:15" x14ac:dyDescent="0.25">
      <c r="N131">
        <v>0.86939625443995561</v>
      </c>
      <c r="O131">
        <v>3.0262057690928614</v>
      </c>
    </row>
    <row r="132" spans="14:15" x14ac:dyDescent="0.25">
      <c r="N132">
        <v>0.88256012066918343</v>
      </c>
      <c r="O132">
        <v>3.3762455247201317</v>
      </c>
    </row>
    <row r="133" spans="14:15" x14ac:dyDescent="0.25">
      <c r="N133">
        <v>0.89572398689841126</v>
      </c>
      <c r="O133">
        <v>3.8029139152067448</v>
      </c>
    </row>
    <row r="134" spans="14:15" x14ac:dyDescent="0.25">
      <c r="N134">
        <v>0.90888785312763909</v>
      </c>
      <c r="O134">
        <v>4.3349891587778941</v>
      </c>
    </row>
    <row r="135" spans="14:15" x14ac:dyDescent="0.25">
      <c r="N135">
        <v>0.92205171935686692</v>
      </c>
      <c r="O135">
        <v>5.0176920816693364</v>
      </c>
    </row>
    <row r="136" spans="14:15" x14ac:dyDescent="0.25">
      <c r="N136">
        <v>0.93521558558609474</v>
      </c>
      <c r="O136">
        <v>5.9263884210513336</v>
      </c>
    </row>
    <row r="137" spans="14:15" x14ac:dyDescent="0.25">
      <c r="N137">
        <v>0.94837945181532257</v>
      </c>
      <c r="O137">
        <v>7.1967338816403483</v>
      </c>
    </row>
    <row r="138" spans="14:15" x14ac:dyDescent="0.25">
      <c r="N138">
        <v>0.9615433180445504</v>
      </c>
      <c r="O138">
        <v>9.1000367658473529</v>
      </c>
    </row>
    <row r="139" spans="14:15" x14ac:dyDescent="0.25">
      <c r="N139">
        <v>0.97470718427377823</v>
      </c>
      <c r="O139">
        <v>12.269345850143001</v>
      </c>
    </row>
    <row r="140" spans="14:15" x14ac:dyDescent="0.25">
      <c r="N140">
        <v>0.98787105050300605</v>
      </c>
      <c r="O140">
        <v>18.603801870907578</v>
      </c>
    </row>
    <row r="141" spans="14:15" x14ac:dyDescent="0.25">
      <c r="N141">
        <v>1.0010349167322339</v>
      </c>
      <c r="O141">
        <v>37.599097888931986</v>
      </c>
    </row>
  </sheetData>
  <mergeCells count="17">
    <mergeCell ref="B40:D40"/>
    <mergeCell ref="Q4:T4"/>
    <mergeCell ref="Q11:T11"/>
    <mergeCell ref="Q8:T8"/>
    <mergeCell ref="Q5:T5"/>
    <mergeCell ref="M1:O1"/>
    <mergeCell ref="F1:K1"/>
    <mergeCell ref="I11:K11"/>
    <mergeCell ref="I12:K12"/>
    <mergeCell ref="B25:D25"/>
    <mergeCell ref="B1:D1"/>
    <mergeCell ref="F17:G17"/>
    <mergeCell ref="C2:D2"/>
    <mergeCell ref="F11:G11"/>
    <mergeCell ref="I2:K2"/>
    <mergeCell ref="F2:G2"/>
    <mergeCell ref="F25:N25"/>
  </mergeCells>
  <conditionalFormatting sqref="J4">
    <cfRule type="containsErrors" dxfId="6" priority="6">
      <formula>ISERROR(J4)</formula>
    </cfRule>
    <cfRule type="cellIs" dxfId="5" priority="7" operator="equal">
      <formula>$N$3</formula>
    </cfRule>
  </conditionalFormatting>
  <conditionalFormatting sqref="J4:K6 J8:K8">
    <cfRule type="containsErrors" dxfId="4" priority="5">
      <formula>ISERROR(J4)</formula>
    </cfRule>
  </conditionalFormatting>
  <conditionalFormatting sqref="G12:G15">
    <cfRule type="containsErrors" dxfId="3" priority="4">
      <formula>ISERROR(G12)</formula>
    </cfRule>
  </conditionalFormatting>
  <conditionalFormatting sqref="G18:G21">
    <cfRule type="containsErrors" dxfId="2" priority="3">
      <formula>ISERROR(G18)</formula>
    </cfRule>
  </conditionalFormatting>
  <conditionalFormatting sqref="C29:C33">
    <cfRule type="containsErrors" dxfId="1" priority="2">
      <formula>ISERROR(C29)</formula>
    </cfRule>
  </conditionalFormatting>
  <conditionalFormatting sqref="C34:C36">
    <cfRule type="containsErrors" dxfId="0" priority="8">
      <formula>ISERROR(C34)</formula>
    </cfRule>
  </conditionalFormatting>
  <dataValidations count="3">
    <dataValidation showInputMessage="1" showErrorMessage="1" sqref="T6 R6 T9 R9" xr:uid="{43EFF8ED-0A51-42F0-8201-D725BB0CE954}"/>
    <dataValidation type="decimal" operator="lessThan" allowBlank="1" showInputMessage="1" showErrorMessage="1" sqref="C7" xr:uid="{8664AAF4-6187-4BD7-A781-BB11CCBACA4C}">
      <formula1>1</formula1>
    </dataValidation>
    <dataValidation type="decimal" operator="greaterThan" allowBlank="1" showInputMessage="1" showErrorMessage="1" sqref="K26" xr:uid="{803407FB-03AC-4E68-B796-2B45C8C1FA9F}">
      <formula1>0</formula1>
    </dataValidation>
  </dataValidations>
  <pageMargins left="0.7" right="0.7" top="0.75" bottom="0.75" header="0.3" footer="0.3"/>
  <pageSetup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porPressureSingleComp">
                <anchor moveWithCells="1" sizeWithCells="1">
                  <from>
                    <xdr:col>3</xdr:col>
                    <xdr:colOff>85725</xdr:colOff>
                    <xdr:row>25</xdr:row>
                    <xdr:rowOff>66675</xdr:rowOff>
                  </from>
                  <to>
                    <xdr:col>3</xdr:col>
                    <xdr:colOff>904875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ingleCompVaporPhaseLocator">
                <anchor moveWithCells="1" sizeWithCells="1"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14</xdr:col>
                    <xdr:colOff>114300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RTwoPhaseLocator.RRTwoPhaseLocator">
                <anchor moveWithCells="1" sizeWithCells="1">
                  <from>
                    <xdr:col>12</xdr:col>
                    <xdr:colOff>447675</xdr:colOff>
                    <xdr:row>4</xdr:row>
                    <xdr:rowOff>142875</xdr:rowOff>
                  </from>
                  <to>
                    <xdr:col>14</xdr:col>
                    <xdr:colOff>114300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FugacityMixtureLocator">
                <anchor moveWithCells="1" sizeWithCells="1">
                  <from>
                    <xdr:col>12</xdr:col>
                    <xdr:colOff>447675</xdr:colOff>
                    <xdr:row>7</xdr:row>
                    <xdr:rowOff>142875</xdr:rowOff>
                  </from>
                  <to>
                    <xdr:col>14</xdr:col>
                    <xdr:colOff>123825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RRTwoPhaseComp">
                <anchor moveWithCells="1" sizeWithCells="1">
                  <from>
                    <xdr:col>11</xdr:col>
                    <xdr:colOff>485775</xdr:colOff>
                    <xdr:row>25</xdr:row>
                    <xdr:rowOff>76200</xdr:rowOff>
                  </from>
                  <to>
                    <xdr:col>13</xdr:col>
                    <xdr:colOff>333375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RPlotter">
                <anchor moveWithCells="1" sizeWithCells="1">
                  <from>
                    <xdr:col>11</xdr:col>
                    <xdr:colOff>485775</xdr:colOff>
                    <xdr:row>28</xdr:row>
                    <xdr:rowOff>28575</xdr:rowOff>
                  </from>
                  <to>
                    <xdr:col>13</xdr:col>
                    <xdr:colOff>333375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RaoultPbPd">
                <anchor moveWithCells="1" sizeWithCells="1">
                  <from>
                    <xdr:col>3</xdr:col>
                    <xdr:colOff>76200</xdr:colOff>
                    <xdr:row>40</xdr:row>
                    <xdr:rowOff>123825</xdr:rowOff>
                  </from>
                  <to>
                    <xdr:col>3</xdr:col>
                    <xdr:colOff>885825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MixtureFugacity">
                <anchor moveWithCells="1" sizeWithCells="1">
                  <from>
                    <xdr:col>20</xdr:col>
                    <xdr:colOff>304800</xdr:colOff>
                    <xdr:row>27</xdr:row>
                    <xdr:rowOff>142875</xdr:rowOff>
                  </from>
                  <to>
                    <xdr:col>21</xdr:col>
                    <xdr:colOff>600075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utton 6">
              <controlPr defaultSize="0" print="0" autoFill="0" autoPict="0" macro="[0]!CreateKijTable">
                <anchor moveWithCells="1" sizeWithCells="1">
                  <from>
                    <xdr:col>18</xdr:col>
                    <xdr:colOff>419100</xdr:colOff>
                    <xdr:row>27</xdr:row>
                    <xdr:rowOff>142875</xdr:rowOff>
                  </from>
                  <to>
                    <xdr:col>20</xdr:col>
                    <xdr:colOff>104775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ChangeWorksheet">
                <anchor moveWithCells="1" sizeWithCells="1">
                  <from>
                    <xdr:col>12</xdr:col>
                    <xdr:colOff>447675</xdr:colOff>
                    <xdr:row>10</xdr:row>
                    <xdr:rowOff>123825</xdr:rowOff>
                  </from>
                  <to>
                    <xdr:col>14</xdr:col>
                    <xdr:colOff>123825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16205-C2C3-499B-8C2B-535E931E04FC}">
  <sheetPr codeName="Sheet2"/>
  <dimension ref="A1:AC134"/>
  <sheetViews>
    <sheetView showGridLines="0" tabSelected="1" workbookViewId="0">
      <selection activeCell="H12" sqref="H12"/>
    </sheetView>
  </sheetViews>
  <sheetFormatPr defaultColWidth="8.85546875" defaultRowHeight="15" x14ac:dyDescent="0.25"/>
  <cols>
    <col min="8" max="8" width="17.140625" customWidth="1"/>
    <col min="11" max="11" width="9.42578125" bestFit="1" customWidth="1"/>
    <col min="27" max="27" width="11.42578125" customWidth="1"/>
  </cols>
  <sheetData>
    <row r="1" spans="1:29" ht="15.75" thickBot="1" x14ac:dyDescent="0.3">
      <c r="A1" s="97" t="s">
        <v>106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133" t="s">
        <v>108</v>
      </c>
      <c r="M1" s="133"/>
      <c r="N1" s="133"/>
      <c r="O1" s="133"/>
      <c r="P1" s="133"/>
      <c r="Q1" s="133" t="s">
        <v>109</v>
      </c>
      <c r="R1" s="133"/>
    </row>
    <row r="2" spans="1:29" x14ac:dyDescent="0.25">
      <c r="A2" s="43" t="s">
        <v>59</v>
      </c>
      <c r="B2" s="39">
        <v>3</v>
      </c>
      <c r="C2" s="39" t="s">
        <v>76</v>
      </c>
      <c r="D2" s="39">
        <v>2</v>
      </c>
      <c r="E2" s="1"/>
      <c r="F2" s="1"/>
      <c r="G2" s="37"/>
      <c r="H2" s="39" t="s">
        <v>42</v>
      </c>
      <c r="I2" s="61">
        <v>9.9999999999999995E-7</v>
      </c>
      <c r="J2" s="90" t="s">
        <v>99</v>
      </c>
      <c r="K2" s="95">
        <v>1.0001565936584857</v>
      </c>
      <c r="L2" s="92"/>
      <c r="M2" s="93"/>
      <c r="N2" s="93"/>
      <c r="O2" s="93"/>
      <c r="P2" s="93"/>
      <c r="Q2" s="93"/>
      <c r="R2" s="94"/>
      <c r="AB2" t="s">
        <v>110</v>
      </c>
      <c r="AC2" t="s">
        <v>111</v>
      </c>
    </row>
    <row r="3" spans="1:29" x14ac:dyDescent="0.25">
      <c r="A3" s="43" t="s">
        <v>82</v>
      </c>
      <c r="B3" s="39">
        <v>355.37200000000001</v>
      </c>
      <c r="C3" s="39" t="s">
        <v>50</v>
      </c>
      <c r="D3" s="39">
        <v>117.2109</v>
      </c>
      <c r="E3" s="39" t="s">
        <v>8</v>
      </c>
      <c r="F3" s="61">
        <v>8.3144587999999997E-5</v>
      </c>
      <c r="G3" s="37"/>
      <c r="H3" s="39" t="s">
        <v>98</v>
      </c>
      <c r="I3" s="81">
        <v>500</v>
      </c>
      <c r="J3" s="90" t="s">
        <v>88</v>
      </c>
      <c r="K3" s="91">
        <v>0.44137092662203647</v>
      </c>
      <c r="L3" s="15"/>
      <c r="M3" s="37"/>
      <c r="N3" s="37"/>
      <c r="O3" s="37"/>
      <c r="P3" s="37"/>
      <c r="Q3" s="37"/>
      <c r="R3" s="10"/>
    </row>
    <row r="4" spans="1:29" x14ac:dyDescent="0.25">
      <c r="A4" s="15"/>
      <c r="B4" s="37"/>
      <c r="C4" s="37"/>
      <c r="D4" s="37"/>
      <c r="E4" s="37"/>
      <c r="F4" s="37"/>
      <c r="G4" s="37"/>
      <c r="H4" s="4" t="s">
        <v>102</v>
      </c>
      <c r="I4" s="4">
        <v>45</v>
      </c>
      <c r="J4" s="37"/>
      <c r="K4" s="37"/>
      <c r="L4" s="15"/>
      <c r="M4" s="37"/>
      <c r="N4" s="37"/>
      <c r="O4" s="37"/>
      <c r="P4" s="37"/>
      <c r="Q4" s="37"/>
      <c r="R4" s="10"/>
      <c r="AB4">
        <v>3.913536528056738E-2</v>
      </c>
      <c r="AC4">
        <v>0.12853289919966748</v>
      </c>
    </row>
    <row r="5" spans="1:29" ht="15.75" thickBot="1" x14ac:dyDescent="0.3">
      <c r="A5" s="26" t="s">
        <v>84</v>
      </c>
      <c r="B5" s="4">
        <v>1</v>
      </c>
      <c r="C5" s="37"/>
      <c r="D5" s="37"/>
      <c r="E5" s="37"/>
      <c r="F5" s="37"/>
      <c r="G5" s="37"/>
      <c r="H5" s="4" t="s">
        <v>103</v>
      </c>
      <c r="I5" s="4">
        <v>131</v>
      </c>
      <c r="J5" s="37"/>
      <c r="K5" s="37"/>
      <c r="L5" s="17"/>
      <c r="M5" s="13"/>
      <c r="N5" s="13"/>
      <c r="O5" s="13"/>
      <c r="P5" s="13"/>
      <c r="Q5" s="13"/>
      <c r="R5" s="14"/>
      <c r="AB5">
        <v>0.25065193292758803</v>
      </c>
      <c r="AC5">
        <v>4.0141966337717605E-2</v>
      </c>
    </row>
    <row r="6" spans="1:29" x14ac:dyDescent="0.25">
      <c r="A6" s="15"/>
      <c r="B6" s="37"/>
      <c r="C6" s="37"/>
      <c r="D6" s="37"/>
      <c r="E6" s="37"/>
      <c r="F6" s="37"/>
      <c r="G6" s="37"/>
      <c r="J6" s="37"/>
      <c r="K6" s="37"/>
      <c r="L6" s="37"/>
      <c r="M6" s="37"/>
      <c r="N6" s="37"/>
      <c r="O6" s="37"/>
      <c r="P6" s="37"/>
      <c r="Q6" s="37"/>
      <c r="R6" s="37"/>
      <c r="AB6">
        <v>7.2331532553417732E-2</v>
      </c>
      <c r="AC6">
        <v>2.1055540976647302E-2</v>
      </c>
    </row>
    <row r="7" spans="1:29" x14ac:dyDescent="0.25">
      <c r="A7" s="15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AB7">
        <v>3.681755459503816E-2</v>
      </c>
      <c r="AC7">
        <v>1.3002971748515724E-2</v>
      </c>
    </row>
    <row r="8" spans="1:29" x14ac:dyDescent="0.25">
      <c r="A8" s="43" t="s">
        <v>65</v>
      </c>
      <c r="B8" s="39" t="s">
        <v>63</v>
      </c>
      <c r="C8" s="39" t="s">
        <v>1</v>
      </c>
      <c r="D8" s="39" t="s">
        <v>2</v>
      </c>
      <c r="E8" s="60" t="s">
        <v>87</v>
      </c>
      <c r="F8" s="96" t="s">
        <v>62</v>
      </c>
      <c r="G8" s="96" t="s">
        <v>73</v>
      </c>
      <c r="H8" s="82"/>
      <c r="I8" s="82"/>
      <c r="J8" s="47" t="s">
        <v>77</v>
      </c>
      <c r="K8" s="41" t="s">
        <v>78</v>
      </c>
      <c r="L8" s="41" t="s">
        <v>104</v>
      </c>
      <c r="M8" s="40" t="s">
        <v>105</v>
      </c>
      <c r="AB8">
        <v>2.271408277883108E-2</v>
      </c>
      <c r="AC8">
        <v>8.6539119165388589E-3</v>
      </c>
    </row>
    <row r="9" spans="1:29" x14ac:dyDescent="0.25">
      <c r="A9" s="7" t="s">
        <v>78</v>
      </c>
      <c r="B9" s="1">
        <v>0.8</v>
      </c>
      <c r="C9" s="1">
        <v>304.2</v>
      </c>
      <c r="D9" s="62">
        <v>73.764939850000005</v>
      </c>
      <c r="E9" s="1">
        <v>0.22500000000000001</v>
      </c>
      <c r="F9" s="98">
        <v>0.71082719296587993</v>
      </c>
      <c r="G9" s="99">
        <v>0.91286317144908058</v>
      </c>
      <c r="J9" s="42" t="s">
        <v>78</v>
      </c>
      <c r="K9" s="37"/>
      <c r="L9" s="37">
        <v>0.12</v>
      </c>
      <c r="M9" s="37">
        <v>0.11409999999999999</v>
      </c>
      <c r="N9" s="6"/>
      <c r="Q9" s="82"/>
      <c r="AB9">
        <v>1.5528031906419826E-2</v>
      </c>
      <c r="AC9">
        <v>6.0114258660976527E-3</v>
      </c>
    </row>
    <row r="10" spans="1:29" x14ac:dyDescent="0.25">
      <c r="A10" s="7" t="s">
        <v>104</v>
      </c>
      <c r="B10" s="1">
        <v>0.1</v>
      </c>
      <c r="C10" s="1">
        <v>425.12</v>
      </c>
      <c r="D10" s="62">
        <v>37.96</v>
      </c>
      <c r="E10" s="1">
        <v>0.2014</v>
      </c>
      <c r="F10" s="99">
        <v>0.12543057911879779</v>
      </c>
      <c r="G10" s="99">
        <v>6.7813328899290232E-2</v>
      </c>
      <c r="J10" s="42" t="s">
        <v>104</v>
      </c>
      <c r="K10" s="37">
        <v>0.12</v>
      </c>
      <c r="L10" s="37"/>
      <c r="M10" s="37"/>
      <c r="AB10">
        <v>1.1323114705379889E-2</v>
      </c>
      <c r="AC10">
        <v>4.2933035881149162E-3</v>
      </c>
    </row>
    <row r="11" spans="1:29" x14ac:dyDescent="0.25">
      <c r="A11" s="7" t="s">
        <v>105</v>
      </c>
      <c r="B11" s="1">
        <v>0.1</v>
      </c>
      <c r="C11" s="1">
        <v>617.70000000000005</v>
      </c>
      <c r="D11" s="62">
        <v>21.1</v>
      </c>
      <c r="E11" s="1">
        <v>0.48980000000000001</v>
      </c>
      <c r="F11" s="99">
        <v>0.16374222791532228</v>
      </c>
      <c r="G11" s="99">
        <v>1.9323499651629241E-2</v>
      </c>
      <c r="J11" s="40" t="s">
        <v>105</v>
      </c>
      <c r="K11" s="37">
        <v>0.11409999999999999</v>
      </c>
      <c r="L11" s="37"/>
      <c r="M11" s="37"/>
      <c r="AB11">
        <v>8.6321773876238406E-3</v>
      </c>
      <c r="AC11">
        <v>3.1266731565521289E-3</v>
      </c>
    </row>
    <row r="12" spans="1:29" x14ac:dyDescent="0.25">
      <c r="A12" s="7"/>
      <c r="B12" s="1"/>
      <c r="C12" s="1"/>
      <c r="D12" s="62"/>
      <c r="E12" s="1"/>
      <c r="F12" s="37"/>
      <c r="G12" s="37"/>
      <c r="J12" s="37"/>
      <c r="K12" s="37"/>
      <c r="L12" s="37"/>
      <c r="M12" s="37"/>
      <c r="AB12">
        <v>6.7980376137174447E-3</v>
      </c>
      <c r="AC12">
        <v>2.3104524054773368E-3</v>
      </c>
    </row>
    <row r="13" spans="1:29" x14ac:dyDescent="0.25">
      <c r="A13" s="15"/>
      <c r="J13" s="37"/>
      <c r="K13" s="37"/>
      <c r="L13" s="37"/>
      <c r="M13" s="37"/>
      <c r="AB13">
        <v>5.4878054628516582E-3</v>
      </c>
      <c r="AC13">
        <v>1.7267603851821578E-3</v>
      </c>
    </row>
    <row r="14" spans="1:29" x14ac:dyDescent="0.25">
      <c r="A14" s="15"/>
      <c r="F14" s="37"/>
      <c r="G14" s="37"/>
      <c r="K14" s="37"/>
      <c r="L14" s="37"/>
      <c r="M14" s="37"/>
      <c r="N14" s="37"/>
      <c r="P14" s="37"/>
      <c r="Q14" s="37"/>
      <c r="AB14">
        <v>4.5171767319235334E-3</v>
      </c>
      <c r="AC14">
        <v>1.3022980518840876E-3</v>
      </c>
    </row>
    <row r="15" spans="1:29" x14ac:dyDescent="0.25">
      <c r="F15" s="37"/>
      <c r="G15" s="37"/>
      <c r="L15" s="37"/>
      <c r="M15" s="37"/>
      <c r="N15" s="37"/>
      <c r="P15" s="37"/>
      <c r="Q15" s="37"/>
      <c r="AB15">
        <v>3.7769704712984908E-3</v>
      </c>
      <c r="AC15">
        <v>9.8949031963246892E-4</v>
      </c>
    </row>
    <row r="16" spans="1:29" x14ac:dyDescent="0.25">
      <c r="G16" s="83"/>
      <c r="H16" s="37"/>
      <c r="K16" s="37"/>
      <c r="L16" s="37"/>
      <c r="M16" s="37"/>
      <c r="N16" s="37"/>
      <c r="P16" s="37"/>
      <c r="Q16" s="37"/>
      <c r="AB16">
        <v>3.1989646051330256E-3</v>
      </c>
      <c r="AC16">
        <v>7.564484586369824E-4</v>
      </c>
    </row>
    <row r="17" spans="7:29" x14ac:dyDescent="0.25">
      <c r="G17" s="80"/>
      <c r="H17" s="80"/>
      <c r="I17" s="80"/>
      <c r="J17" s="80"/>
      <c r="K17" s="37"/>
      <c r="L17" s="37"/>
      <c r="M17" s="37"/>
      <c r="AB17">
        <v>2.7386472671452333E-3</v>
      </c>
      <c r="AC17">
        <v>5.8125827641852812E-4</v>
      </c>
    </row>
    <row r="18" spans="7:29" x14ac:dyDescent="0.25">
      <c r="G18" s="80"/>
      <c r="H18" s="80"/>
      <c r="I18" s="132"/>
      <c r="J18" s="132"/>
      <c r="K18" s="37"/>
      <c r="L18" s="37"/>
      <c r="M18" s="37"/>
      <c r="P18" s="85"/>
      <c r="AB18">
        <v>2.3659183505197467E-3</v>
      </c>
      <c r="AC18">
        <v>4.4855630094980947E-4</v>
      </c>
    </row>
    <row r="19" spans="7:29" x14ac:dyDescent="0.25">
      <c r="G19" s="80"/>
      <c r="H19" s="80"/>
      <c r="I19" s="80"/>
      <c r="J19" s="80"/>
      <c r="K19" s="80"/>
      <c r="L19" s="84"/>
      <c r="AB19">
        <v>2.059800476409468E-3</v>
      </c>
      <c r="AC19">
        <v>3.4739238330333544E-4</v>
      </c>
    </row>
    <row r="20" spans="7:29" x14ac:dyDescent="0.25">
      <c r="AB20">
        <v>1.805292626841426E-3</v>
      </c>
      <c r="AC20">
        <v>2.6985204595658674E-4</v>
      </c>
    </row>
    <row r="21" spans="7:29" x14ac:dyDescent="0.25">
      <c r="AB21">
        <v>1.5914258387675906E-3</v>
      </c>
      <c r="AC21">
        <v>2.1014551896647582E-4</v>
      </c>
    </row>
    <row r="22" spans="7:29" x14ac:dyDescent="0.25">
      <c r="AB22">
        <v>1.4100217526940018E-3</v>
      </c>
      <c r="AC22">
        <v>1.6399258892108026E-4</v>
      </c>
    </row>
    <row r="23" spans="7:29" x14ac:dyDescent="0.25">
      <c r="AB23">
        <v>1.2548770563499678E-3</v>
      </c>
      <c r="AC23">
        <v>1.2819975685829377E-4</v>
      </c>
    </row>
    <row r="24" spans="7:29" x14ac:dyDescent="0.25">
      <c r="AB24">
        <v>1.1212141572549683E-3</v>
      </c>
      <c r="AC24">
        <v>1.0036505096544523E-4</v>
      </c>
    </row>
    <row r="25" spans="7:29" x14ac:dyDescent="0.25">
      <c r="AB25">
        <v>1.0053028981520384E-3</v>
      </c>
      <c r="AC25">
        <v>7.8669089174310258E-5</v>
      </c>
    </row>
    <row r="26" spans="7:29" x14ac:dyDescent="0.25">
      <c r="AB26">
        <v>9.0419486563286799E-4</v>
      </c>
      <c r="AC26">
        <v>6.1725326974626515E-5</v>
      </c>
    </row>
    <row r="27" spans="7:29" x14ac:dyDescent="0.25">
      <c r="AB27">
        <v>8.1553344388590743E-4</v>
      </c>
      <c r="AC27">
        <v>4.8471490294244024E-5</v>
      </c>
    </row>
    <row r="28" spans="7:29" x14ac:dyDescent="0.25">
      <c r="AB28">
        <v>7.3741582999603539E-4</v>
      </c>
      <c r="AC28">
        <v>3.8090038959937011E-5</v>
      </c>
    </row>
    <row r="29" spans="7:29" x14ac:dyDescent="0.25">
      <c r="AB29">
        <v>6.682913306200744E-4</v>
      </c>
      <c r="AC29">
        <v>2.9949340191237628E-5</v>
      </c>
    </row>
    <row r="30" spans="7:29" x14ac:dyDescent="0.25">
      <c r="AB30">
        <v>6.0688540152620263E-4</v>
      </c>
      <c r="AC30">
        <v>2.3559782990234535E-5</v>
      </c>
    </row>
    <row r="31" spans="7:29" x14ac:dyDescent="0.25">
      <c r="AB31">
        <v>5.5214222248622935E-4</v>
      </c>
      <c r="AC31">
        <v>1.8540784711529312E-5</v>
      </c>
    </row>
    <row r="32" spans="7:29" x14ac:dyDescent="0.25">
      <c r="AB32">
        <v>5.0318079832789575E-4</v>
      </c>
      <c r="AC32">
        <v>1.4595815571893933E-5</v>
      </c>
    </row>
    <row r="33" spans="28:29" x14ac:dyDescent="0.25">
      <c r="AB33">
        <v>4.5926105366184133E-4</v>
      </c>
      <c r="AC33">
        <v>1.1493378035742907E-5</v>
      </c>
    </row>
    <row r="34" spans="28:29" x14ac:dyDescent="0.25">
      <c r="AB34">
        <v>4.1975739594030115E-4</v>
      </c>
      <c r="AC34">
        <v>9.0524446708095674E-6</v>
      </c>
    </row>
    <row r="35" spans="28:29" x14ac:dyDescent="0.25">
      <c r="AB35">
        <v>3.8413791909353012E-4</v>
      </c>
      <c r="AC35">
        <v>7.1312583980742694E-6</v>
      </c>
    </row>
    <row r="36" spans="28:29" x14ac:dyDescent="0.25">
      <c r="AB36">
        <v>3.5194790918524621E-4</v>
      </c>
      <c r="AC36">
        <v>5.6186849098360803E-6</v>
      </c>
    </row>
    <row r="37" spans="28:29" x14ac:dyDescent="0.25">
      <c r="AB37">
        <v>3.2279666142720487E-4</v>
      </c>
      <c r="AC37">
        <v>4.4275132295434894E-6</v>
      </c>
    </row>
    <row r="38" spans="28:29" x14ac:dyDescent="0.25">
      <c r="AB38">
        <v>2.9634686777935126E-4</v>
      </c>
      <c r="AC38">
        <v>3.489250749166839E-6</v>
      </c>
    </row>
    <row r="39" spans="28:29" x14ac:dyDescent="0.25">
      <c r="AB39">
        <v>2.7230601612659999E-4</v>
      </c>
      <c r="AC39">
        <v>2.7500695844451251E-6</v>
      </c>
    </row>
    <row r="40" spans="28:29" x14ac:dyDescent="0.25">
      <c r="AB40">
        <v>2.5041937538494707E-4</v>
      </c>
      <c r="AC40">
        <v>2.1676431542494434E-6</v>
      </c>
    </row>
    <row r="41" spans="28:29" x14ac:dyDescent="0.25">
      <c r="AB41">
        <v>2.3046423979439234E-4</v>
      </c>
      <c r="AC41">
        <v>1.7086732857496401E-6</v>
      </c>
    </row>
    <row r="42" spans="28:29" x14ac:dyDescent="0.25">
      <c r="AB42">
        <v>2.122451796296998E-4</v>
      </c>
      <c r="AC42">
        <v>1.3469543056476851E-6</v>
      </c>
    </row>
    <row r="43" spans="28:29" x14ac:dyDescent="0.25">
      <c r="AB43">
        <v>1.9559010132513821E-4</v>
      </c>
      <c r="AC43">
        <v>1.0618557272357165E-6</v>
      </c>
    </row>
    <row r="44" spans="28:29" x14ac:dyDescent="0.25">
      <c r="AB44">
        <v>1.8034696243873771E-4</v>
      </c>
      <c r="AC44">
        <v>2.0829710809522339E-6</v>
      </c>
    </row>
    <row r="45" spans="28:29" x14ac:dyDescent="0.25">
      <c r="AB45">
        <v>1.6638101937826999E-4</v>
      </c>
      <c r="AC45">
        <v>1.6405788523243814E-6</v>
      </c>
    </row>
    <row r="46" spans="28:29" x14ac:dyDescent="0.25">
      <c r="AB46">
        <v>1.5357251084729961E-4</v>
      </c>
      <c r="AC46">
        <v>1.2923811807397101E-6</v>
      </c>
    </row>
    <row r="47" spans="28:29" x14ac:dyDescent="0.25">
      <c r="AB47">
        <v>1.4181469950436121E-4</v>
      </c>
      <c r="AC47">
        <v>1.0182418508364321E-6</v>
      </c>
    </row>
    <row r="48" spans="28:29" x14ac:dyDescent="0.25">
      <c r="AB48">
        <v>1.3101220944911063E-4</v>
      </c>
      <c r="AC48">
        <v>8.0235635202541289E-7</v>
      </c>
    </row>
    <row r="49" spans="1:28" x14ac:dyDescent="0.25">
      <c r="AB49">
        <v>1.2107960922019823E-4</v>
      </c>
    </row>
    <row r="50" spans="1:28" x14ac:dyDescent="0.25">
      <c r="AB50">
        <v>1.1194019936366928E-4</v>
      </c>
    </row>
    <row r="51" spans="1:28" x14ac:dyDescent="0.25">
      <c r="AB51">
        <v>1.0352497125620808E-4</v>
      </c>
    </row>
    <row r="52" spans="1:28" x14ac:dyDescent="0.25">
      <c r="A52" s="7" t="s">
        <v>100</v>
      </c>
      <c r="B52" s="1">
        <v>0.1</v>
      </c>
      <c r="C52" s="1">
        <v>507.6</v>
      </c>
      <c r="D52" s="62">
        <v>30.25</v>
      </c>
      <c r="E52" s="1">
        <v>0.30099999999999999</v>
      </c>
      <c r="AB52">
        <v>9.5771709757441759E-5</v>
      </c>
    </row>
    <row r="53" spans="1:28" x14ac:dyDescent="0.25">
      <c r="A53" s="7" t="s">
        <v>101</v>
      </c>
      <c r="B53" s="1">
        <f>1-B52</f>
        <v>0.9</v>
      </c>
      <c r="C53" s="1">
        <v>871.16</v>
      </c>
      <c r="D53" s="62">
        <v>5.53</v>
      </c>
      <c r="E53" s="1">
        <v>1.4678</v>
      </c>
      <c r="AB53">
        <v>8.862421725541747E-5</v>
      </c>
    </row>
    <row r="54" spans="1:28" x14ac:dyDescent="0.25">
      <c r="AB54">
        <v>8.2031640418867013E-5</v>
      </c>
    </row>
    <row r="55" spans="1:28" x14ac:dyDescent="0.25">
      <c r="A55" s="7" t="s">
        <v>96</v>
      </c>
      <c r="B55" s="1">
        <v>0.5</v>
      </c>
      <c r="C55" s="1">
        <v>190.6</v>
      </c>
      <c r="D55" s="62">
        <v>46.001600000000003</v>
      </c>
      <c r="E55" s="1">
        <v>8.0000000000000002E-3</v>
      </c>
      <c r="AB55">
        <v>7.5947884258797949E-5</v>
      </c>
    </row>
    <row r="56" spans="1:28" x14ac:dyDescent="0.25">
      <c r="A56" s="7" t="s">
        <v>97</v>
      </c>
      <c r="B56" s="1">
        <f>1-B55</f>
        <v>0.5</v>
      </c>
      <c r="C56" s="1">
        <v>373.2</v>
      </c>
      <c r="D56" s="62">
        <v>89.368600000000001</v>
      </c>
      <c r="E56" s="1">
        <v>0.1</v>
      </c>
      <c r="AB56">
        <v>7.0331100606169095E-5</v>
      </c>
    </row>
    <row r="57" spans="1:28" x14ac:dyDescent="0.25">
      <c r="AB57">
        <v>6.5143240257803381E-5</v>
      </c>
    </row>
    <row r="58" spans="1:28" x14ac:dyDescent="0.25">
      <c r="A58" s="7" t="s">
        <v>78</v>
      </c>
      <c r="B58" s="1">
        <v>0.75</v>
      </c>
      <c r="C58" s="1">
        <v>304.2</v>
      </c>
      <c r="D58" s="62">
        <v>73.764939850000005</v>
      </c>
      <c r="E58" s="1">
        <v>0.22500000000000001</v>
      </c>
      <c r="AB58">
        <v>6.0349659721736781E-5</v>
      </c>
    </row>
    <row r="59" spans="1:28" x14ac:dyDescent="0.25">
      <c r="A59" s="7" t="s">
        <v>104</v>
      </c>
      <c r="B59" s="1">
        <v>0.1</v>
      </c>
      <c r="C59" s="1">
        <v>425.12</v>
      </c>
      <c r="D59" s="62">
        <v>37.96</v>
      </c>
      <c r="E59" s="1">
        <v>0.2014</v>
      </c>
      <c r="AB59">
        <v>5.5918775023144907E-5</v>
      </c>
    </row>
    <row r="60" spans="1:28" x14ac:dyDescent="0.25">
      <c r="A60" s="7" t="s">
        <v>105</v>
      </c>
      <c r="B60" s="1">
        <v>0.15</v>
      </c>
      <c r="C60" s="1">
        <v>617.70000000000005</v>
      </c>
      <c r="D60" s="62">
        <v>21.1</v>
      </c>
      <c r="E60" s="1">
        <v>0.48980000000000001</v>
      </c>
      <c r="AB60">
        <v>5.1821756085479453E-5</v>
      </c>
    </row>
    <row r="61" spans="1:28" x14ac:dyDescent="0.25">
      <c r="AB61">
        <v>4.8032256279695318E-5</v>
      </c>
    </row>
    <row r="62" spans="1:28" x14ac:dyDescent="0.25">
      <c r="AB62">
        <v>4.4526172496506256E-5</v>
      </c>
    </row>
    <row r="63" spans="1:28" x14ac:dyDescent="0.25">
      <c r="AB63">
        <v>4.1281431802819846E-5</v>
      </c>
    </row>
    <row r="64" spans="1:28" x14ac:dyDescent="0.25">
      <c r="AB64">
        <v>3.8277801325148353E-5</v>
      </c>
    </row>
    <row r="65" spans="28:28" x14ac:dyDescent="0.25">
      <c r="AB65">
        <v>3.5496718417626916E-5</v>
      </c>
    </row>
    <row r="66" spans="28:28" x14ac:dyDescent="0.25">
      <c r="AB66">
        <v>3.2921138694574914E-5</v>
      </c>
    </row>
    <row r="67" spans="28:28" x14ac:dyDescent="0.25">
      <c r="AB67">
        <v>3.0535399733966351E-5</v>
      </c>
    </row>
    <row r="68" spans="28:28" x14ac:dyDescent="0.25">
      <c r="AB68">
        <v>2.8325098609172095E-5</v>
      </c>
    </row>
    <row r="69" spans="28:28" x14ac:dyDescent="0.25">
      <c r="AB69">
        <v>2.6276981662243237E-5</v>
      </c>
    </row>
    <row r="70" spans="28:28" x14ac:dyDescent="0.25">
      <c r="AB70">
        <v>2.4378845107420055E-5</v>
      </c>
    </row>
    <row r="71" spans="28:28" x14ac:dyDescent="0.25">
      <c r="AB71">
        <v>2.2619445232852087E-5</v>
      </c>
    </row>
    <row r="72" spans="28:28" x14ac:dyDescent="0.25">
      <c r="AB72">
        <v>2.0988417198331E-5</v>
      </c>
    </row>
    <row r="73" spans="28:28" x14ac:dyDescent="0.25">
      <c r="AB73">
        <v>1.9476201413515248E-5</v>
      </c>
    </row>
    <row r="74" spans="28:28" x14ac:dyDescent="0.25">
      <c r="AB74">
        <v>1.8073976785548673E-5</v>
      </c>
    </row>
    <row r="75" spans="28:28" x14ac:dyDescent="0.25">
      <c r="AB75">
        <v>1.6773600012842671E-5</v>
      </c>
    </row>
    <row r="76" spans="28:28" x14ac:dyDescent="0.25">
      <c r="AB76">
        <v>1.5567550403772223E-5</v>
      </c>
    </row>
    <row r="77" spans="28:28" x14ac:dyDescent="0.25">
      <c r="AB77">
        <v>1.4448879569806117E-5</v>
      </c>
    </row>
    <row r="78" spans="28:28" x14ac:dyDescent="0.25">
      <c r="AB78">
        <v>1.3411165555587967E-5</v>
      </c>
    </row>
    <row r="79" spans="28:28" x14ac:dyDescent="0.25">
      <c r="AB79">
        <v>1.2448470968096093E-5</v>
      </c>
    </row>
    <row r="80" spans="28:28" x14ac:dyDescent="0.25">
      <c r="AB80">
        <v>1.155530468971433E-5</v>
      </c>
    </row>
    <row r="81" spans="28:28" x14ac:dyDescent="0.25">
      <c r="AB81">
        <v>1.0726586855580589E-5</v>
      </c>
    </row>
    <row r="82" spans="28:28" x14ac:dyDescent="0.25">
      <c r="AB82">
        <v>9.957616771527622E-6</v>
      </c>
    </row>
    <row r="83" spans="28:28" x14ac:dyDescent="0.25">
      <c r="AB83">
        <v>9.2440435222052031E-6</v>
      </c>
    </row>
    <row r="84" spans="28:28" x14ac:dyDescent="0.25">
      <c r="AB84">
        <v>8.5818389888858704E-6</v>
      </c>
    </row>
    <row r="85" spans="28:28" x14ac:dyDescent="0.25">
      <c r="AB85">
        <v>7.967273088549387E-6</v>
      </c>
    </row>
    <row r="86" spans="28:28" x14ac:dyDescent="0.25">
      <c r="AB86">
        <v>7.3968910214716743E-6</v>
      </c>
    </row>
    <row r="87" spans="28:28" x14ac:dyDescent="0.25">
      <c r="AB87">
        <v>6.8674923389133724E-6</v>
      </c>
    </row>
    <row r="88" spans="28:28" x14ac:dyDescent="0.25">
      <c r="AB88">
        <v>6.3761117065630479E-6</v>
      </c>
    </row>
    <row r="89" spans="28:28" x14ac:dyDescent="0.25">
      <c r="AB89">
        <v>5.9200011757187809E-6</v>
      </c>
    </row>
    <row r="90" spans="28:28" x14ac:dyDescent="0.25">
      <c r="AB90">
        <v>5.4966138581802326E-6</v>
      </c>
    </row>
    <row r="91" spans="28:28" x14ac:dyDescent="0.25">
      <c r="AB91">
        <v>5.103588883170751E-6</v>
      </c>
    </row>
    <row r="92" spans="28:28" x14ac:dyDescent="0.25">
      <c r="AB92">
        <v>4.7387375219920536E-6</v>
      </c>
    </row>
    <row r="93" spans="28:28" x14ac:dyDescent="0.25">
      <c r="AB93">
        <v>4.4000303842661737E-6</v>
      </c>
    </row>
    <row r="94" spans="28:28" x14ac:dyDescent="0.25">
      <c r="AB94">
        <v>4.0855856126564838E-6</v>
      </c>
    </row>
    <row r="95" spans="28:28" x14ac:dyDescent="0.25">
      <c r="AB95">
        <v>3.7936579593833564E-6</v>
      </c>
    </row>
    <row r="96" spans="28:28" x14ac:dyDescent="0.25">
      <c r="AB96">
        <v>3.5226287217748897E-6</v>
      </c>
    </row>
    <row r="97" spans="28:28" x14ac:dyDescent="0.25">
      <c r="AB97">
        <v>3.2709964238319955E-6</v>
      </c>
    </row>
    <row r="98" spans="28:28" x14ac:dyDescent="0.25">
      <c r="AB98">
        <v>3.0373682088913334E-6</v>
      </c>
    </row>
    <row r="99" spans="28:28" x14ac:dyDescent="0.25">
      <c r="AB99">
        <v>2.8204518801033807E-6</v>
      </c>
    </row>
    <row r="100" spans="28:28" x14ac:dyDescent="0.25">
      <c r="AB100">
        <v>2.6190485376553774E-6</v>
      </c>
    </row>
    <row r="101" spans="28:28" x14ac:dyDescent="0.25">
      <c r="AB101">
        <v>2.4320457649995575E-6</v>
      </c>
    </row>
    <row r="102" spans="28:28" x14ac:dyDescent="0.25">
      <c r="AB102">
        <v>2.2584113310020193E-6</v>
      </c>
    </row>
    <row r="103" spans="28:28" x14ac:dyDescent="0.25">
      <c r="AB103">
        <v>2.0971873427866328E-6</v>
      </c>
    </row>
    <row r="104" spans="28:28" x14ac:dyDescent="0.25">
      <c r="AB104">
        <v>1.9474848582667903E-6</v>
      </c>
    </row>
    <row r="105" spans="28:28" x14ac:dyDescent="0.25">
      <c r="AB105">
        <v>1.8084788624417314E-6</v>
      </c>
    </row>
    <row r="106" spans="28:28" x14ac:dyDescent="0.25">
      <c r="AB106">
        <v>1.6794036533651635E-6</v>
      </c>
    </row>
    <row r="107" spans="28:28" x14ac:dyDescent="0.25">
      <c r="AB107">
        <v>1.5595485294284117E-6</v>
      </c>
    </row>
    <row r="108" spans="28:28" x14ac:dyDescent="0.25">
      <c r="AB108">
        <v>1.448253827418533E-6</v>
      </c>
    </row>
    <row r="109" spans="28:28" x14ac:dyDescent="0.25">
      <c r="AB109">
        <v>1.3449072188143063E-6</v>
      </c>
    </row>
    <row r="110" spans="28:28" x14ac:dyDescent="0.25">
      <c r="AB110">
        <v>1.2489403052873271E-6</v>
      </c>
    </row>
    <row r="111" spans="28:28" x14ac:dyDescent="0.25">
      <c r="AB111">
        <v>1.1598254464617597E-6</v>
      </c>
    </row>
    <row r="112" spans="28:28" x14ac:dyDescent="0.25">
      <c r="AB112">
        <v>1.0770728154363418E-6</v>
      </c>
    </row>
    <row r="113" spans="28:28" x14ac:dyDescent="0.25">
      <c r="AB113">
        <v>1.0002276851772685E-6</v>
      </c>
    </row>
    <row r="114" spans="28:28" x14ac:dyDescent="0.25">
      <c r="AB114">
        <v>1.2474653612315478E-6</v>
      </c>
    </row>
    <row r="115" spans="28:28" x14ac:dyDescent="0.25">
      <c r="AB115">
        <v>1.1584752996895986E-6</v>
      </c>
    </row>
    <row r="116" spans="28:28" x14ac:dyDescent="0.25">
      <c r="AB116">
        <v>1.0758358683915503E-6</v>
      </c>
    </row>
    <row r="117" spans="28:28" x14ac:dyDescent="0.25">
      <c r="AB117">
        <v>3.3692379890482016E-6</v>
      </c>
    </row>
    <row r="118" spans="28:28" x14ac:dyDescent="0.25">
      <c r="AB118">
        <v>3.1289072346396551E-6</v>
      </c>
    </row>
    <row r="119" spans="28:28" x14ac:dyDescent="0.25">
      <c r="AB119">
        <v>2.9057245924946074E-6</v>
      </c>
    </row>
    <row r="120" spans="28:28" x14ac:dyDescent="0.25">
      <c r="AB120">
        <v>2.6984658170192688E-6</v>
      </c>
    </row>
    <row r="121" spans="28:28" x14ac:dyDescent="0.25">
      <c r="AB121">
        <v>2.5059941375360495E-6</v>
      </c>
    </row>
    <row r="122" spans="28:28" x14ac:dyDescent="0.25">
      <c r="AB122">
        <v>2.3272540392582641E-6</v>
      </c>
    </row>
    <row r="123" spans="28:28" x14ac:dyDescent="0.25">
      <c r="AB123">
        <v>2.1612654066416326E-6</v>
      </c>
    </row>
    <row r="124" spans="28:28" x14ac:dyDescent="0.25">
      <c r="AB124">
        <v>2.0071181570102681E-6</v>
      </c>
    </row>
    <row r="125" spans="28:28" x14ac:dyDescent="0.25">
      <c r="AB125">
        <v>1.8639672063613943E-6</v>
      </c>
    </row>
    <row r="126" spans="28:28" x14ac:dyDescent="0.25">
      <c r="AB126">
        <v>1.7310278259685674E-6</v>
      </c>
    </row>
    <row r="127" spans="28:28" x14ac:dyDescent="0.25">
      <c r="AB127">
        <v>1.6075713382690537E-6</v>
      </c>
    </row>
    <row r="128" spans="28:28" x14ac:dyDescent="0.25">
      <c r="AB128">
        <v>1.4929210827574479E-6</v>
      </c>
    </row>
    <row r="129" spans="28:28" x14ac:dyDescent="0.25">
      <c r="AB129">
        <v>1.3864487247161605E-6</v>
      </c>
    </row>
    <row r="130" spans="28:28" x14ac:dyDescent="0.25">
      <c r="AB130">
        <v>1.2875707842141537E-6</v>
      </c>
    </row>
    <row r="131" spans="28:28" x14ac:dyDescent="0.25">
      <c r="AB131">
        <v>1.1957454209010621E-6</v>
      </c>
    </row>
    <row r="132" spans="28:28" x14ac:dyDescent="0.25">
      <c r="AB132">
        <v>1.1104694959129802E-6</v>
      </c>
    </row>
    <row r="133" spans="28:28" x14ac:dyDescent="0.25">
      <c r="AB133">
        <v>1.0312757616759427E-6</v>
      </c>
    </row>
    <row r="134" spans="28:28" x14ac:dyDescent="0.25">
      <c r="AB134">
        <v>9.5773032704471461E-7</v>
      </c>
    </row>
  </sheetData>
  <mergeCells count="3">
    <mergeCell ref="I18:J18"/>
    <mergeCell ref="L1:P1"/>
    <mergeCell ref="Q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nePhaseStabilityAnalysis">
                <anchor moveWithCells="1" sizeWithCells="1">
                  <from>
                    <xdr:col>11</xdr:col>
                    <xdr:colOff>142875</xdr:colOff>
                    <xdr:row>1</xdr:row>
                    <xdr:rowOff>152400</xdr:rowOff>
                  </from>
                  <to>
                    <xdr:col>12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KijTableSA">
                <anchor moveWithCells="1" siz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3</xdr:col>
                    <xdr:colOff>571500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hangeWorksheetHome">
                <anchor moveWithCells="1" sizeWithCells="1">
                  <from>
                    <xdr:col>16</xdr:col>
                    <xdr:colOff>228600</xdr:colOff>
                    <xdr:row>1</xdr:row>
                    <xdr:rowOff>142875</xdr:rowOff>
                  </from>
                  <to>
                    <xdr:col>17</xdr:col>
                    <xdr:colOff>523875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HECK_PT_Flash_Proj2.TwoPhasePTFlash">
                <anchor moveWithCells="1" sizeWithCells="1">
                  <from>
                    <xdr:col>12</xdr:col>
                    <xdr:colOff>600075</xdr:colOff>
                    <xdr:row>1</xdr:row>
                    <xdr:rowOff>152400</xdr:rowOff>
                  </from>
                  <to>
                    <xdr:col>14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RCheck">
                <anchor moveWithCells="1" sizeWithCells="1">
                  <from>
                    <xdr:col>14</xdr:col>
                    <xdr:colOff>428625</xdr:colOff>
                    <xdr:row>1</xdr:row>
                    <xdr:rowOff>142875</xdr:rowOff>
                  </from>
                  <to>
                    <xdr:col>16</xdr:col>
                    <xdr:colOff>104775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SATwoPhaseFlash">
                <anchor moveWithCells="1" sizeWithCells="1">
                  <from>
                    <xdr:col>4</xdr:col>
                    <xdr:colOff>161925</xdr:colOff>
                    <xdr:row>3</xdr:row>
                    <xdr:rowOff>142875</xdr:rowOff>
                  </from>
                  <to>
                    <xdr:col>6</xdr:col>
                    <xdr:colOff>371475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116</vt:i4>
      </vt:variant>
    </vt:vector>
  </HeadingPairs>
  <TitlesOfParts>
    <vt:vector size="118" baseType="lpstr">
      <vt:lpstr>PR Solver</vt:lpstr>
      <vt:lpstr>Stability</vt:lpstr>
      <vt:lpstr>a</vt:lpstr>
      <vt:lpstr>Alpha</vt:lpstr>
      <vt:lpstr>b</vt:lpstr>
      <vt:lpstr>Del</vt:lpstr>
      <vt:lpstr>fgdfg</vt:lpstr>
      <vt:lpstr>FugMixture</vt:lpstr>
      <vt:lpstr>FugNc</vt:lpstr>
      <vt:lpstr>FugPress</vt:lpstr>
      <vt:lpstr>FugRConst</vt:lpstr>
      <vt:lpstr>FugTableFugacityHead</vt:lpstr>
      <vt:lpstr>FugTableKijHead</vt:lpstr>
      <vt:lpstr>FugTableLnPhiHead</vt:lpstr>
      <vt:lpstr>FugTableNameHead</vt:lpstr>
      <vt:lpstr>FugTableOmegaHead</vt:lpstr>
      <vt:lpstr>FugTablePcHead</vt:lpstr>
      <vt:lpstr>FugTableTcHead</vt:lpstr>
      <vt:lpstr>FugTableTotalZ</vt:lpstr>
      <vt:lpstr>FugTableZiHead</vt:lpstr>
      <vt:lpstr>FugTabZiHead</vt:lpstr>
      <vt:lpstr>FugTemp</vt:lpstr>
      <vt:lpstr>gfdg</vt:lpstr>
      <vt:lpstr>gfdgfd</vt:lpstr>
      <vt:lpstr>gghfg</vt:lpstr>
      <vt:lpstr>Kappa</vt:lpstr>
      <vt:lpstr>KiWilson</vt:lpstr>
      <vt:lpstr>lnphiL</vt:lpstr>
      <vt:lpstr>lnphiV</vt:lpstr>
      <vt:lpstr>NcRRTwo</vt:lpstr>
      <vt:lpstr>P</vt:lpstr>
      <vt:lpstr>Pc</vt:lpstr>
      <vt:lpstr>PCjsh</vt:lpstr>
      <vt:lpstr>PRA</vt:lpstr>
      <vt:lpstr>PRB</vt:lpstr>
      <vt:lpstr>Pref</vt:lpstr>
      <vt:lpstr>PvapSolution</vt:lpstr>
      <vt:lpstr>Rconst</vt:lpstr>
      <vt:lpstr>Regime</vt:lpstr>
      <vt:lpstr>RRpbpdNameHead</vt:lpstr>
      <vt:lpstr>RRpbpdNc</vt:lpstr>
      <vt:lpstr>RRpbpdPvapHead</vt:lpstr>
      <vt:lpstr>RRpbpdTotalZ</vt:lpstr>
      <vt:lpstr>RRpbpdZiHead</vt:lpstr>
      <vt:lpstr>RRpbsol</vt:lpstr>
      <vt:lpstr>RRpdsol</vt:lpstr>
      <vt:lpstr>RRTableFvHead</vt:lpstr>
      <vt:lpstr>RRTableKiHead</vt:lpstr>
      <vt:lpstr>RRTableXiHead</vt:lpstr>
      <vt:lpstr>RRTableYiHead</vt:lpstr>
      <vt:lpstr>RRTableZiHead</vt:lpstr>
      <vt:lpstr>RRTwoBvInitial</vt:lpstr>
      <vt:lpstr>RRTwoCount</vt:lpstr>
      <vt:lpstr>RRTwoFirstEntry</vt:lpstr>
      <vt:lpstr>RRTwoFvCopyFirstEntry</vt:lpstr>
      <vt:lpstr>RRTwoFvCopyHead</vt:lpstr>
      <vt:lpstr>RRTwoFvCopyLastEntry</vt:lpstr>
      <vt:lpstr>RRTwoFvFirstEntry</vt:lpstr>
      <vt:lpstr>RRTwoFvLastEntry</vt:lpstr>
      <vt:lpstr>RRTwoFvPrimeCopyFirstEntry</vt:lpstr>
      <vt:lpstr>RRTwoFvPrimeCopyLastEntry</vt:lpstr>
      <vt:lpstr>RRTwoFvPrimeFirstEntry</vt:lpstr>
      <vt:lpstr>RRTwoFvPrimeLastEntry</vt:lpstr>
      <vt:lpstr>RRTwoKiCurrent</vt:lpstr>
      <vt:lpstr>RRTwoKmax</vt:lpstr>
      <vt:lpstr>RRTwoKmaxPole</vt:lpstr>
      <vt:lpstr>RRTwoKmin</vt:lpstr>
      <vt:lpstr>RRTwoKminPole</vt:lpstr>
      <vt:lpstr>RRTwoLastEntry</vt:lpstr>
      <vt:lpstr>RRTwoNewtonCount</vt:lpstr>
      <vt:lpstr>RRTwoPhase</vt:lpstr>
      <vt:lpstr>RRTwoPhaseBvPlot</vt:lpstr>
      <vt:lpstr>RRTwoPhaseRRPlot</vt:lpstr>
      <vt:lpstr>RRTwoSolutionBv</vt:lpstr>
      <vt:lpstr>RRTwoThreshold</vt:lpstr>
      <vt:lpstr>RRTwoTotalFv</vt:lpstr>
      <vt:lpstr>RRTwoTotalFvPrime</vt:lpstr>
      <vt:lpstr>RRTwoZiCurrent</vt:lpstr>
      <vt:lpstr>RRTwoZiFirstEntry</vt:lpstr>
      <vt:lpstr>RRTwoZiLastEntry</vt:lpstr>
      <vt:lpstr>RRTwoZiTotal</vt:lpstr>
      <vt:lpstr>SANc</vt:lpstr>
      <vt:lpstr>SAOnePhaseCalculatedBv</vt:lpstr>
      <vt:lpstr>SAOnePhaseMaxIteration</vt:lpstr>
      <vt:lpstr>SAOnePhasePTFlashIteration</vt:lpstr>
      <vt:lpstr>SAOnePhaseStabilityIteration</vt:lpstr>
      <vt:lpstr>SAOnePhaseThreshold</vt:lpstr>
      <vt:lpstr>SAOnePhaseTOtalXi</vt:lpstr>
      <vt:lpstr>SAPress</vt:lpstr>
      <vt:lpstr>SARConst</vt:lpstr>
      <vt:lpstr>SATableErrorColoumn</vt:lpstr>
      <vt:lpstr>SATableErrorFirstEntry</vt:lpstr>
      <vt:lpstr>SATableErrorHead</vt:lpstr>
      <vt:lpstr>SATableErrorPTFlashHead</vt:lpstr>
      <vt:lpstr>SATableIterationNumHead</vt:lpstr>
      <vt:lpstr>SATableKiHead</vt:lpstr>
      <vt:lpstr>SATableKijHead</vt:lpstr>
      <vt:lpstr>SATableNameHead</vt:lpstr>
      <vt:lpstr>SATableOmegaHead</vt:lpstr>
      <vt:lpstr>SATablePcHead</vt:lpstr>
      <vt:lpstr>SATableTcHead</vt:lpstr>
      <vt:lpstr>SATableTotalZ</vt:lpstr>
      <vt:lpstr>SATableXiHead</vt:lpstr>
      <vt:lpstr>SATableYiHead</vt:lpstr>
      <vt:lpstr>SATableZiHead</vt:lpstr>
      <vt:lpstr>SATemp</vt:lpstr>
      <vt:lpstr>SingleCompVaporPressure</vt:lpstr>
      <vt:lpstr>SingPvapCount</vt:lpstr>
      <vt:lpstr>SingPvapEr</vt:lpstr>
      <vt:lpstr>SingPvapTrsh</vt:lpstr>
      <vt:lpstr>T</vt:lpstr>
      <vt:lpstr>Tc</vt:lpstr>
      <vt:lpstr>Vmax</vt:lpstr>
      <vt:lpstr>Vmin</vt:lpstr>
      <vt:lpstr>w</vt:lpstr>
      <vt:lpstr>Zmax</vt:lpstr>
      <vt:lpstr>Zmin</vt:lpstr>
      <vt:lpstr>Zsingle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 Tayyab</dc:creator>
  <cp:lastModifiedBy>Imran Tayyab</cp:lastModifiedBy>
  <cp:lastPrinted>2019-04-06T20:25:47Z</cp:lastPrinted>
  <dcterms:created xsi:type="dcterms:W3CDTF">2019-04-06T15:24:53Z</dcterms:created>
  <dcterms:modified xsi:type="dcterms:W3CDTF">2019-10-09T06:16:17Z</dcterms:modified>
</cp:coreProperties>
</file>